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字段总表" sheetId="1" state="visible" r:id="rId1"/>
    <sheet name="02_路由归属汇总" sheetId="2" state="visible" r:id="rId2"/>
    <sheet name="03_P1-P8判定映射" sheetId="3" state="visible" r:id="rId3"/>
    <sheet name="04_枚举取值表" sheetId="4" state="visible" r:id="rId4"/>
    <sheet name="05_说明与待确认" sheetId="5" state="visible" r:id="rId5"/>
    <sheet name="06_路由决策流水线" sheetId="6" state="visible" r:id="rId6"/>
  </sheets>
  <definedNames>
    <definedName name="_xlnm._FilterDatabase" localSheetId="0" hidden="1">'01_字段总表'!$A$4:$L$55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1F3864"/>
      <sz val="14"/>
    </font>
    <font>
      <name val="微软雅黑"/>
      <color rgb="FF7F7F7F"/>
      <sz val="9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color rgb="FF1F3864"/>
      <sz val="10"/>
    </font>
    <font>
      <name val="微软雅黑"/>
      <b val="1"/>
      <color rgb="FF1F3864"/>
      <sz val="11"/>
    </font>
  </fonts>
  <fills count="12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AEEDA"/>
      </patternFill>
    </fill>
    <fill>
      <patternFill patternType="solid">
        <fgColor rgb="FFD9E2F3"/>
      </patternFill>
    </fill>
    <fill>
      <patternFill patternType="solid">
        <fgColor rgb="FFF1EFE8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AF3D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8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2" customWidth="1" min="4" max="4"/>
    <col width="32" customWidth="1" min="5" max="5"/>
    <col width="22" customWidth="1" min="6" max="6"/>
    <col width="26" customWidth="1" min="7" max="7"/>
    <col width="6" customWidth="1" min="8" max="8"/>
    <col width="24" customWidth="1" min="9" max="9"/>
    <col width="42" customWidth="1" min="10" max="10"/>
    <col width="52" customWidth="1" min="11" max="11"/>
    <col width="26" customWidth="1" min="12" max="12"/>
  </cols>
  <sheetData>
    <row r="1">
      <c r="A1" s="1" t="inlineStr">
        <is>
          <t>VascGuide｜VascCase 字段设计表 + 规则库整合（术前路由专用） V2.0</t>
        </is>
      </c>
    </row>
    <row r="2">
      <c r="A2" s="2" t="inlineStr">
        <is>
          <t>字段设计（方案 A）：「路由归属」对齐表1、「实现依据」溯源表2、「审计留痕」说明还原方式、「关联规则」打通到 R/O 编号。规则库详见 Sheet 10~15。</t>
        </is>
      </c>
    </row>
    <row r="4">
      <c r="A4" s="3" t="inlineStr">
        <is>
          <t>字段名</t>
        </is>
      </c>
      <c r="B4" s="3" t="inlineStr">
        <is>
          <t>中文名</t>
        </is>
      </c>
      <c r="C4" s="3" t="inlineStr">
        <is>
          <t>类型</t>
        </is>
      </c>
      <c r="D4" s="3" t="inlineStr">
        <is>
          <t>来源</t>
        </is>
      </c>
      <c r="E4" s="3" t="inlineStr">
        <is>
          <t>取值 / 枚举</t>
        </is>
      </c>
      <c r="F4" s="3" t="inlineStr">
        <is>
          <t>路由归属</t>
        </is>
      </c>
      <c r="G4" s="3" t="inlineStr">
        <is>
          <t>实现依据</t>
        </is>
      </c>
      <c r="H4" s="3" t="inlineStr">
        <is>
          <t>必填</t>
        </is>
      </c>
      <c r="I4" s="3" t="inlineStr">
        <is>
          <t>缺失时行为</t>
        </is>
      </c>
      <c r="J4" s="3" t="inlineStr">
        <is>
          <t>备注</t>
        </is>
      </c>
      <c r="K4" s="3" t="inlineStr">
        <is>
          <t>审计留痕</t>
        </is>
      </c>
      <c r="L4" s="4" t="inlineStr">
        <is>
          <t>图例</t>
        </is>
      </c>
    </row>
    <row r="5">
      <c r="A5" s="5" t="inlineStr">
        <is>
          <t>case_id</t>
        </is>
      </c>
      <c r="B5" s="5" t="inlineStr">
        <is>
          <t>病例标识</t>
        </is>
      </c>
      <c r="C5" s="5" t="inlineStr">
        <is>
          <t>文本</t>
        </is>
      </c>
      <c r="D5" s="5" t="inlineStr">
        <is>
          <t>系统生成</t>
        </is>
      </c>
      <c r="E5" s="5" t="inlineStr">
        <is>
          <t>任意字符串</t>
        </is>
      </c>
      <c r="F5" s="6" t="inlineStr">
        <is>
          <t>—（系统层）</t>
        </is>
      </c>
      <c r="G5" s="5" t="inlineStr">
        <is>
          <t>—</t>
        </is>
      </c>
      <c r="H5" s="7" t="inlineStr">
        <is>
          <t>是</t>
        </is>
      </c>
      <c r="I5" s="5" t="inlineStr">
        <is>
          <t>—</t>
        </is>
      </c>
      <c r="J5" s="5" t="inlineStr">
        <is>
          <t>唯一标识；用于 Checkpoint 审计追溯</t>
        </is>
      </c>
      <c r="K5" s="5" t="inlineStr">
        <is>
          <t>系统生成 UUID；不可变；用于全链路 Checkpoint 串联</t>
        </is>
      </c>
      <c r="L5" s="8" t="inlineStr">
        <is>
          <t>事实层（LLM 抽取）</t>
        </is>
      </c>
    </row>
    <row r="6">
      <c r="A6" s="5" t="inlineStr">
        <is>
          <t>source_note</t>
        </is>
      </c>
      <c r="B6" s="5" t="inlineStr">
        <is>
          <t>原文摘要</t>
        </is>
      </c>
      <c r="C6" s="5" t="inlineStr">
        <is>
          <t>文本</t>
        </is>
      </c>
      <c r="D6" s="5" t="inlineStr">
        <is>
          <t>LLM 抽取</t>
        </is>
      </c>
      <c r="E6" s="5" t="inlineStr">
        <is>
          <t>病历 / CTA 报告原文片段</t>
        </is>
      </c>
      <c r="F6" s="6" t="inlineStr">
        <is>
          <t>—（证据层）</t>
        </is>
      </c>
      <c r="G6" s="5" t="inlineStr">
        <is>
          <t>O28 语义核查</t>
        </is>
      </c>
      <c r="H6" s="7" t="inlineStr">
        <is>
          <t>否</t>
        </is>
      </c>
      <c r="I6" s="5" t="inlineStr">
        <is>
          <t>留空</t>
        </is>
      </c>
      <c r="J6" s="5" t="inlineStr">
        <is>
          <t>保留证据出处；不得作为路由判断依据</t>
        </is>
      </c>
      <c r="K6" s="5" t="inlineStr">
        <is>
          <t>保留原文片段与其字符偏移区间，作为所有抽取值的证据落点</t>
        </is>
      </c>
      <c r="L6" s="9" t="inlineStr">
        <is>
          <t>判定层（确定性代码）</t>
        </is>
      </c>
    </row>
    <row r="7">
      <c r="A7" s="10" t="inlineStr">
        <is>
          <t>age</t>
        </is>
      </c>
      <c r="B7" s="10" t="inlineStr">
        <is>
          <t>年龄</t>
        </is>
      </c>
      <c r="C7" s="10" t="inlineStr">
        <is>
          <t>数字</t>
        </is>
      </c>
      <c r="D7" s="10" t="inlineStr">
        <is>
          <t>LLM 抽取</t>
        </is>
      </c>
      <c r="E7" s="10" t="inlineStr">
        <is>
          <t>整数（岁）</t>
        </is>
      </c>
      <c r="F7" s="6" t="inlineStr">
        <is>
          <t>指南（阈值分层）</t>
        </is>
      </c>
      <c r="G7" s="10" t="inlineStr">
        <is>
          <t>R002/R003</t>
        </is>
      </c>
      <c r="H7" s="11" t="inlineStr">
        <is>
          <t>否</t>
        </is>
      </c>
      <c r="I7" s="10" t="inlineStr">
        <is>
          <t>标记缺失</t>
        </is>
      </c>
      <c r="J7" s="10" t="inlineStr">
        <is>
          <t>影响修复评估分层</t>
        </is>
      </c>
      <c r="K7" s="10" t="inlineStr">
        <is>
          <t>记录原文出处 + 写入者（LLM/量化器/人工）+ 置信度 + 覆写痕迹</t>
        </is>
      </c>
      <c r="L7" s="12" t="inlineStr">
        <is>
          <t>元数据 / 路由结果</t>
        </is>
      </c>
    </row>
    <row r="8">
      <c r="A8" s="10" t="inlineStr">
        <is>
          <t>sex</t>
        </is>
      </c>
      <c r="B8" s="10" t="inlineStr">
        <is>
          <t>性别</t>
        </is>
      </c>
      <c r="C8" s="10" t="inlineStr">
        <is>
          <t>枚举</t>
        </is>
      </c>
      <c r="D8" s="10" t="inlineStr">
        <is>
          <t>LLM 抽取</t>
        </is>
      </c>
      <c r="E8" s="10" t="inlineStr">
        <is>
          <t>男 / 女 / 未知</t>
        </is>
      </c>
      <c r="F8" s="6" t="inlineStr">
        <is>
          <t>指南（55/50mm 阈值）</t>
        </is>
      </c>
      <c r="G8" s="10" t="inlineStr">
        <is>
          <t>R002/R003</t>
        </is>
      </c>
      <c r="H8" s="11" t="inlineStr">
        <is>
          <t>是</t>
        </is>
      </c>
      <c r="I8" s="10" t="inlineStr">
        <is>
          <t>归入 missing_critical_fields</t>
        </is>
      </c>
      <c r="J8" s="10" t="inlineStr">
        <is>
          <t>阈值区分关键；未知不得默认男</t>
        </is>
      </c>
      <c r="K8" s="10" t="inlineStr">
        <is>
          <t>记录原文出处 + 写入者（LLM/量化器/人工）+ 置信度 + 覆写痕迹</t>
        </is>
      </c>
      <c r="L8" s="13" t="inlineStr">
        <is>
          <t>路由归属（按表1）</t>
        </is>
      </c>
    </row>
    <row r="9">
      <c r="A9" s="10" t="inlineStr">
        <is>
          <t>disease_category</t>
        </is>
      </c>
      <c r="B9" s="10" t="inlineStr">
        <is>
          <t>一级病种</t>
        </is>
      </c>
      <c r="C9" s="10" t="inlineStr">
        <is>
          <t>枚举（列表 list）</t>
        </is>
      </c>
      <c r="D9" s="10" t="inlineStr">
        <is>
          <t>LLM 抽取</t>
        </is>
      </c>
      <c r="E9" s="10" t="inlineStr">
        <is>
          <t>1无症状AAA / 2症状性未破裂 / 3破裂或疑似破裂 / 4感染性 / 5其他特殊 / 6髂动脉瘤 / 7术后状态</t>
        </is>
      </c>
      <c r="F9" s="6" t="inlineStr">
        <is>
          <t>急诊+复杂+指南（全模式）</t>
        </is>
      </c>
      <c r="G9" s="10" t="inlineStr">
        <is>
          <t>表1 A01~P06；O29 多标签</t>
        </is>
      </c>
      <c r="H9" s="11" t="inlineStr">
        <is>
          <t>否</t>
        </is>
      </c>
      <c r="I9" s="10" t="inlineStr">
        <is>
          <t>归入 missing_critical_fields</t>
        </is>
      </c>
      <c r="J9" s="10" t="inlineStr">
        <is>
          <t>list 类型；O29 要求保留全部标签，不得只留一个</t>
        </is>
      </c>
      <c r="K9" s="10" t="inlineStr">
        <is>
          <t>记录命中的表1 类别编号（可多标签）+ LLM 置信 + 人工覆写痕迹</t>
        </is>
      </c>
      <c r="L9" s="14" t="inlineStr">
        <is>
          <t>审计留痕 / 关联规则</t>
        </is>
      </c>
    </row>
    <row r="10">
      <c r="A10" s="10" t="inlineStr">
        <is>
          <t>lesion_subtype</t>
        </is>
      </c>
      <c r="B10" s="10" t="inlineStr">
        <is>
          <t>二级病种</t>
        </is>
      </c>
      <c r="C10" s="10" t="inlineStr">
        <is>
          <t>文本</t>
        </is>
      </c>
      <c r="D10" s="10" t="inlineStr">
        <is>
          <t>LLM 抽取</t>
        </is>
      </c>
      <c r="E10" s="10" t="inlineStr">
        <is>
          <t>如：小型肾下AAA / 炎症性AAA / Ia型内漏 …</t>
        </is>
      </c>
      <c r="F10" s="6" t="inlineStr">
        <is>
          <t>急诊+复杂+指南（全模式）</t>
        </is>
      </c>
      <c r="G10" s="10" t="inlineStr">
        <is>
          <t>表1 二级基础类型；R001~R093</t>
        </is>
      </c>
      <c r="H10" s="11" t="inlineStr">
        <is>
          <t>否</t>
        </is>
      </c>
      <c r="I10" s="10" t="inlineStr">
        <is>
          <t>归入 missing_critical_fields</t>
        </is>
      </c>
      <c r="J10" s="10" t="inlineStr">
        <is>
          <t>对应表1 的 26 条具体类型</t>
        </is>
      </c>
      <c r="K10" s="10" t="inlineStr">
        <is>
          <t>记录命中的表1 二级类型编号 + 原文出处</t>
        </is>
      </c>
      <c r="L10" s="15" t="inlineStr">
        <is>
          <t>表1 二级类型；R001~R093</t>
        </is>
      </c>
    </row>
    <row r="11">
      <c r="A11" s="10" t="inlineStr">
        <is>
          <t>temporal_status</t>
        </is>
      </c>
      <c r="B11" s="10" t="inlineStr">
        <is>
          <t>时态</t>
        </is>
      </c>
      <c r="C11" s="10" t="inlineStr">
        <is>
          <t>枚举</t>
        </is>
      </c>
      <c r="D11" s="10" t="inlineStr">
        <is>
          <t>LLM 抽取</t>
        </is>
      </c>
      <c r="E11" s="10" t="inlineStr">
        <is>
          <t>当前 / 既往 / 疑似</t>
        </is>
      </c>
      <c r="F11" s="6" t="inlineStr">
        <is>
          <t>急诊+复杂（防误判）</t>
        </is>
      </c>
      <c r="G11" s="10" t="inlineStr">
        <is>
          <t>O28 时态核查</t>
        </is>
      </c>
      <c r="H11" s="11" t="inlineStr">
        <is>
          <t>是</t>
        </is>
      </c>
      <c r="I11" s="10" t="inlineStr">
        <is>
          <t>归入 missing_critical_fields</t>
        </is>
      </c>
      <c r="J11" s="10" t="inlineStr">
        <is>
          <t>关键：既往破裂≠当前破裂（T27）</t>
        </is>
      </c>
      <c r="K11" s="10" t="inlineStr">
        <is>
          <t>记录判定依据（当前/既往/疑似）与对应原文；防「既往破裂误判为当前」</t>
        </is>
      </c>
      <c r="L11" s="15" t="inlineStr">
        <is>
          <t>O28</t>
        </is>
      </c>
    </row>
    <row r="12">
      <c r="A12" s="10" t="inlineStr">
        <is>
          <t>diagnosis_certainty</t>
        </is>
      </c>
      <c r="B12" s="10" t="inlineStr">
        <is>
          <t>诊断确定性</t>
        </is>
      </c>
      <c r="C12" s="10" t="inlineStr">
        <is>
          <t>枚举</t>
        </is>
      </c>
      <c r="D12" s="10" t="inlineStr">
        <is>
          <t>LLM 抽取</t>
        </is>
      </c>
      <c r="E12" s="10" t="inlineStr">
        <is>
          <t>确诊 / 疑似 / 待排 / 未提及</t>
        </is>
      </c>
      <c r="F12" s="6" t="inlineStr">
        <is>
          <t>急诊+复杂（疑似语义）</t>
        </is>
      </c>
      <c r="G12" s="10" t="inlineStr">
        <is>
          <t>O28 疑似语义处理</t>
        </is>
      </c>
      <c r="H12" s="11" t="inlineStr">
        <is>
          <t>否</t>
        </is>
      </c>
      <c r="I12" s="10" t="inlineStr">
        <is>
          <t>视同未提及</t>
        </is>
      </c>
      <c r="J12" s="10" t="inlineStr">
        <is>
          <t>疑似高危不得因未确诊而延误</t>
        </is>
      </c>
      <c r="K12" s="10" t="inlineStr">
        <is>
          <t>记录确定性判定依据；「疑似」不得因未确诊而降权</t>
        </is>
      </c>
      <c r="L12" s="15" t="inlineStr">
        <is>
          <t>O28</t>
        </is>
      </c>
    </row>
    <row r="13">
      <c r="A13" s="10" t="inlineStr">
        <is>
          <t>symptom_aaa_related</t>
        </is>
      </c>
      <c r="B13" s="10" t="inlineStr">
        <is>
          <t>AAA归因性症状</t>
        </is>
      </c>
      <c r="C13" s="10" t="inlineStr">
        <is>
          <t>枚举</t>
        </is>
      </c>
      <c r="D13" s="10" t="inlineStr">
        <is>
          <t>LLM 抽取</t>
        </is>
      </c>
      <c r="E13" s="10" t="inlineStr">
        <is>
          <t>有 / 无 / 未提及</t>
        </is>
      </c>
      <c r="F13" s="6" t="inlineStr">
        <is>
          <t>急诊</t>
        </is>
      </c>
      <c r="G13" s="10" t="inlineStr">
        <is>
          <t>表1 S01/S02；O03；R009~R016</t>
        </is>
      </c>
      <c r="H13" s="11" t="inlineStr">
        <is>
          <t>是</t>
        </is>
      </c>
      <c r="I13" s="10" t="inlineStr">
        <is>
          <t>归入 missing_critical_fields</t>
        </is>
      </c>
      <c r="J13" s="10" t="inlineStr">
        <is>
          <t>需与否定/他因区分</t>
        </is>
      </c>
      <c r="K13" s="10" t="inlineStr">
        <is>
          <t>记录症状原文 + 医生归因结论 + 是否被否定拦截（O03）</t>
        </is>
      </c>
      <c r="L13" s="15" t="inlineStr">
        <is>
          <t>O03 / R009~R016</t>
        </is>
      </c>
    </row>
    <row r="14">
      <c r="A14" s="10" t="inlineStr">
        <is>
          <t>symptom_type</t>
        </is>
      </c>
      <c r="B14" s="10" t="inlineStr">
        <is>
          <t>症状类型</t>
        </is>
      </c>
      <c r="C14" s="10" t="inlineStr">
        <is>
          <t>文本</t>
        </is>
      </c>
      <c r="D14" s="10" t="inlineStr">
        <is>
          <t>LLM 抽取</t>
        </is>
      </c>
      <c r="E14" s="10" t="inlineStr">
        <is>
          <t>腹痛 / 腰背痛 / 压痛 / 远端栓塞 / 压迫症状 …</t>
        </is>
      </c>
      <c r="F14" s="6" t="inlineStr">
        <is>
          <t>急诊</t>
        </is>
      </c>
      <c r="G14" s="10" t="inlineStr">
        <is>
          <t>表1 S01；R009~R014</t>
        </is>
      </c>
      <c r="H14" s="11" t="inlineStr">
        <is>
          <t>否</t>
        </is>
      </c>
      <c r="I14" s="10" t="inlineStr">
        <is>
          <t>留空</t>
        </is>
      </c>
      <c r="J14" s="10" t="inlineStr">
        <is>
          <t>—</t>
        </is>
      </c>
      <c r="K14" s="10" t="inlineStr">
        <is>
          <t>记录原文出处 + 写入者（LLM/量化器/人工）+ 置信度 + 覆写痕迹</t>
        </is>
      </c>
      <c r="L14" s="15" t="inlineStr">
        <is>
          <t>O03 / R009~R014</t>
        </is>
      </c>
    </row>
    <row r="15">
      <c r="A15" s="10" t="inlineStr">
        <is>
          <t>pain_cause_attributed</t>
        </is>
      </c>
      <c r="B15" s="10" t="inlineStr">
        <is>
          <t>疼痛归因已核实</t>
        </is>
      </c>
      <c r="C15" s="10" t="inlineStr">
        <is>
          <t>枚举</t>
        </is>
      </c>
      <c r="D15" s="10" t="inlineStr">
        <is>
          <t>LLM 抽取</t>
        </is>
      </c>
      <c r="E15" s="10" t="inlineStr">
        <is>
          <t>是（归因AAA）/ 否 / 未核实</t>
        </is>
      </c>
      <c r="F15" s="6" t="inlineStr">
        <is>
          <t>急诊</t>
        </is>
      </c>
      <c r="G15" s="10" t="inlineStr">
        <is>
          <t>O03 归因门槛</t>
        </is>
      </c>
      <c r="H15" s="11" t="inlineStr">
        <is>
          <t>否</t>
        </is>
      </c>
      <c r="I15" s="10" t="inlineStr">
        <is>
          <t>视同未核实</t>
        </is>
      </c>
      <c r="J15" s="10" t="inlineStr">
        <is>
          <t>「否认腹痛」不足以证明无症状</t>
        </is>
      </c>
      <c r="K15" s="10" t="inlineStr">
        <is>
          <t>记录归因过程：否认腹痛 / 他因解释 / 归因AAA</t>
        </is>
      </c>
      <c r="L15" s="15" t="inlineStr">
        <is>
          <t>O03</t>
        </is>
      </c>
    </row>
    <row r="16">
      <c r="A16" s="10" t="inlineStr">
        <is>
          <t>rupture_status</t>
        </is>
      </c>
      <c r="B16" s="10" t="inlineStr">
        <is>
          <t>破裂状态</t>
        </is>
      </c>
      <c r="C16" s="10" t="inlineStr">
        <is>
          <t>枚举</t>
        </is>
      </c>
      <c r="D16" s="10" t="inlineStr">
        <is>
          <t>LLM 抽取</t>
        </is>
      </c>
      <c r="E16" s="10" t="inlineStr">
        <is>
          <t>明确破裂 / 疑似破裂 / 未破裂 / 未提及</t>
        </is>
      </c>
      <c r="F16" s="6" t="inlineStr">
        <is>
          <t>急诊</t>
        </is>
      </c>
      <c r="G16" s="10" t="inlineStr">
        <is>
          <t>表1 R01/R02；O02；R017~R028</t>
        </is>
      </c>
      <c r="H16" s="11" t="inlineStr">
        <is>
          <t>是</t>
        </is>
      </c>
      <c r="I16" s="10" t="inlineStr">
        <is>
          <t>归入 missing_critical_fields</t>
        </is>
      </c>
      <c r="J16" s="10" t="inlineStr">
        <is>
          <t>「排除破裂」→未破裂，不触发急诊（T26/T33）</t>
        </is>
      </c>
      <c r="K16" s="10" t="inlineStr">
        <is>
          <t>记录抽取值 + 原文出处（如「造影剂外渗」）+ 「排除破裂」的语义解析结果</t>
        </is>
      </c>
      <c r="L16" s="15" t="inlineStr">
        <is>
          <t>O02 / R017~R028</t>
        </is>
      </c>
    </row>
    <row r="17">
      <c r="A17" s="10" t="inlineStr">
        <is>
          <t>hemodynamic_instability</t>
        </is>
      </c>
      <c r="B17" s="10" t="inlineStr">
        <is>
          <t>循环不稳</t>
        </is>
      </c>
      <c r="C17" s="10" t="inlineStr">
        <is>
          <t>枚举</t>
        </is>
      </c>
      <c r="D17" s="10" t="inlineStr">
        <is>
          <t>LLM 抽取</t>
        </is>
      </c>
      <c r="E17" s="10" t="inlineStr">
        <is>
          <t>有（休克/低血压/晕厥）/ 无 / 未提及</t>
        </is>
      </c>
      <c r="F17" s="6" t="inlineStr">
        <is>
          <t>急诊</t>
        </is>
      </c>
      <c r="G17" s="10" t="inlineStr">
        <is>
          <t>O04</t>
        </is>
      </c>
      <c r="H17" s="11" t="inlineStr">
        <is>
          <t>否</t>
        </is>
      </c>
      <c r="I17" s="10" t="inlineStr">
        <is>
          <t>视同无</t>
        </is>
      </c>
      <c r="J17" s="10" t="inlineStr">
        <is>
          <t>需排除非主动脉原因</t>
        </is>
      </c>
      <c r="K17" s="10" t="inlineStr">
        <is>
          <t>记录血压/意识等证据原文 + 是否已排除非主动脉原因</t>
        </is>
      </c>
      <c r="L17" s="15" t="inlineStr">
        <is>
          <t>O04 / R024</t>
        </is>
      </c>
    </row>
    <row r="18">
      <c r="A18" s="10" t="inlineStr">
        <is>
          <t>active_hemorrhage</t>
        </is>
      </c>
      <c r="B18" s="10" t="inlineStr">
        <is>
          <t>活动性出血</t>
        </is>
      </c>
      <c r="C18" s="10" t="inlineStr">
        <is>
          <t>枚举</t>
        </is>
      </c>
      <c r="D18" s="10" t="inlineStr">
        <is>
          <t>LLM 抽取</t>
        </is>
      </c>
      <c r="E18" s="10" t="inlineStr">
        <is>
          <t>有（造影剂外渗/大出血）/ 无 / 未提及</t>
        </is>
      </c>
      <c r="F18" s="6" t="inlineStr">
        <is>
          <t>急诊</t>
        </is>
      </c>
      <c r="G18" s="10" t="inlineStr">
        <is>
          <t>O05</t>
        </is>
      </c>
      <c r="H18" s="11" t="inlineStr">
        <is>
          <t>否</t>
        </is>
      </c>
      <c r="I18" s="10" t="inlineStr">
        <is>
          <t>视同无</t>
        </is>
      </c>
      <c r="J18" s="10" t="inlineStr">
        <is>
          <t>须确认来源为主动脉</t>
        </is>
      </c>
      <c r="K18" s="10" t="inlineStr">
        <is>
          <t>记录出血来源确认证据（造影剂外渗位置）</t>
        </is>
      </c>
      <c r="L18" s="15" t="inlineStr">
        <is>
          <t>O05 / R022</t>
        </is>
      </c>
    </row>
    <row r="19">
      <c r="A19" s="10" t="inlineStr">
        <is>
          <t>acute_limb_ischemia</t>
        </is>
      </c>
      <c r="B19" s="10" t="inlineStr">
        <is>
          <t>急性肢体缺血</t>
        </is>
      </c>
      <c r="C19" s="10" t="inlineStr">
        <is>
          <t>枚举</t>
        </is>
      </c>
      <c r="D19" s="10" t="inlineStr">
        <is>
          <t>LLM 抽取</t>
        </is>
      </c>
      <c r="E19" s="10" t="inlineStr">
        <is>
          <t>有 / 无 / 未提及</t>
        </is>
      </c>
      <c r="F19" s="6" t="inlineStr">
        <is>
          <t>急诊</t>
        </is>
      </c>
      <c r="G19" s="10" t="inlineStr">
        <is>
          <t>O07；R012/R014</t>
        </is>
      </c>
      <c r="H19" s="11" t="inlineStr">
        <is>
          <t>否</t>
        </is>
      </c>
      <c r="I19" s="10" t="inlineStr">
        <is>
          <t>视同无</t>
        </is>
      </c>
      <c r="J19" s="10" t="inlineStr">
        <is>
          <t>仅急性；慢性跛行不触发</t>
        </is>
      </c>
      <c r="K19" s="10" t="inlineStr">
        <is>
          <t>记录急性 vs 慢性的区分依据</t>
        </is>
      </c>
      <c r="L19" s="15" t="inlineStr">
        <is>
          <t>O07 / R012 / R014</t>
        </is>
      </c>
    </row>
    <row r="20">
      <c r="A20" s="10" t="inlineStr">
        <is>
          <t>visceral_malperfusion</t>
        </is>
      </c>
      <c r="B20" s="10" t="inlineStr">
        <is>
          <t>重要器官灌注障碍</t>
        </is>
      </c>
      <c r="C20" s="10" t="inlineStr">
        <is>
          <t>枚举</t>
        </is>
      </c>
      <c r="D20" s="10" t="inlineStr">
        <is>
          <t>LLM 抽取</t>
        </is>
      </c>
      <c r="E20" s="10" t="inlineStr">
        <is>
          <t>有（肠系膜/肾/脊髓缺血）/ 无 / 未提及</t>
        </is>
      </c>
      <c r="F20" s="6" t="inlineStr">
        <is>
          <t>急诊</t>
        </is>
      </c>
      <c r="G20" s="10" t="inlineStr">
        <is>
          <t>O08</t>
        </is>
      </c>
      <c r="H20" s="11" t="inlineStr">
        <is>
          <t>否</t>
        </is>
      </c>
      <c r="I20" s="10" t="inlineStr">
        <is>
          <t>视同无</t>
        </is>
      </c>
      <c r="J20" s="10" t="inlineStr">
        <is>
          <t>—</t>
        </is>
      </c>
      <c r="K20" s="10" t="inlineStr">
        <is>
          <t>记录受累器官与影像证据</t>
        </is>
      </c>
      <c r="L20" s="15" t="inlineStr">
        <is>
          <t>O08 / R013</t>
        </is>
      </c>
    </row>
    <row r="21">
      <c r="A21" s="10" t="inlineStr">
        <is>
          <t>septic_shock</t>
        </is>
      </c>
      <c r="B21" s="10" t="inlineStr">
        <is>
          <t>脓毒性休克</t>
        </is>
      </c>
      <c r="C21" s="10" t="inlineStr">
        <is>
          <t>枚举</t>
        </is>
      </c>
      <c r="D21" s="10" t="inlineStr">
        <is>
          <t>LLM 抽取</t>
        </is>
      </c>
      <c r="E21" s="10" t="inlineStr">
        <is>
          <t>有 / 无 / 未提及</t>
        </is>
      </c>
      <c r="F21" s="6" t="inlineStr">
        <is>
          <t>急诊</t>
        </is>
      </c>
      <c r="G21" s="10" t="inlineStr">
        <is>
          <t>O09；R029/R033</t>
        </is>
      </c>
      <c r="H21" s="11" t="inlineStr">
        <is>
          <t>否</t>
        </is>
      </c>
      <c r="I21" s="10" t="inlineStr">
        <is>
          <t>视同无</t>
        </is>
      </c>
      <c r="J21" s="10" t="inlineStr">
        <is>
          <t>感染性病种伴急性失代偿</t>
        </is>
      </c>
      <c r="K21" s="10" t="inlineStr">
        <is>
          <t>记录感染证据 + 血流动力学失代偿证据</t>
        </is>
      </c>
      <c r="L21" s="15" t="inlineStr">
        <is>
          <t>O09 / R029 / R033</t>
        </is>
      </c>
    </row>
    <row r="22">
      <c r="A22" s="10" t="inlineStr">
        <is>
          <t>max_diameter_mm</t>
        </is>
      </c>
      <c r="B22" s="10" t="inlineStr">
        <is>
          <t>主动脉瘤体最大直径</t>
        </is>
      </c>
      <c r="C22" s="10" t="inlineStr">
        <is>
          <t>数字（1位小数）</t>
        </is>
      </c>
      <c r="D22" s="10" t="inlineStr">
        <is>
          <t>LLM 抽取（含浅层影像数值）</t>
        </is>
      </c>
      <c r="E22" s="10" t="inlineStr">
        <is>
          <t>毫米</t>
        </is>
      </c>
      <c r="F22" s="6" t="inlineStr">
        <is>
          <t>指南（+复杂兜底）</t>
        </is>
      </c>
      <c r="G22" s="10" t="inlineStr">
        <is>
          <t>表1 A01/A02；R001~R003/R052/R053</t>
        </is>
      </c>
      <c r="H22" s="11" t="inlineStr">
        <is>
          <t>否</t>
        </is>
      </c>
      <c r="I22" s="10" t="inlineStr">
        <is>
          <t>归入 missing_critical_fields</t>
        </is>
      </c>
      <c r="J22" s="10" t="inlineStr">
        <is>
          <t>门控用；AAA 阈值 55/50mm；精密测量由 B 影像量化器产出</t>
        </is>
      </c>
      <c r="K22" s="10" t="inlineStr">
        <is>
          <t>记录主动脉瘤数值 + 来源（LLM 浅层读取 / B 影像量化器）+ 测量方法；须能区分谁给的数</t>
        </is>
      </c>
      <c r="L22" s="15" t="inlineStr">
        <is>
          <t>R001~R003 / R052</t>
        </is>
      </c>
    </row>
    <row r="23">
      <c r="A23" s="10" t="inlineStr">
        <is>
          <t>iliac_diameter_mm</t>
        </is>
      </c>
      <c r="B23" s="10" t="inlineStr">
        <is>
          <t>髂动脉瘤体最大直径</t>
        </is>
      </c>
      <c r="C23" s="10" t="inlineStr">
        <is>
          <t>数字（1位小数）</t>
        </is>
      </c>
      <c r="D23" s="10" t="inlineStr">
        <is>
          <t>LLM 抽取（含浅层影像数值）</t>
        </is>
      </c>
      <c r="E23" s="10" t="inlineStr">
        <is>
          <t>毫米</t>
        </is>
      </c>
      <c r="F23" s="6" t="inlineStr">
        <is>
          <t>指南（阈值分层）</t>
        </is>
      </c>
      <c r="G23" s="10" t="inlineStr">
        <is>
          <t>表1 L01；R052/R053</t>
        </is>
      </c>
      <c r="H23" s="11" t="inlineStr">
        <is>
          <t>否</t>
        </is>
      </c>
      <c r="I23" s="10" t="inlineStr">
        <is>
          <t>归入 missing_critical_fields</t>
        </is>
      </c>
      <c r="J23" s="10" t="inlineStr">
        <is>
          <t>门控用；髂瘤阈值 40mm，与 AAA 不同，故独立成列</t>
        </is>
      </c>
      <c r="K23" s="10" t="inlineStr">
        <is>
          <t>记录髂动脉瘤数值 + 来源 + 测量方法；与主动脉直径分别留痕（阈值不同）</t>
        </is>
      </c>
      <c r="L23" s="15" t="inlineStr">
        <is>
          <t>R052 / R053</t>
        </is>
      </c>
    </row>
    <row r="24">
      <c r="A24" s="10" t="inlineStr">
        <is>
          <t>growth_rate_mm_per_year</t>
        </is>
      </c>
      <c r="B24" s="10" t="inlineStr">
        <is>
          <t>年增长率</t>
        </is>
      </c>
      <c r="C24" s="10" t="inlineStr">
        <is>
          <t>数字（1位小数）</t>
        </is>
      </c>
      <c r="D24" s="10" t="inlineStr">
        <is>
          <t>LLM 抽取</t>
        </is>
      </c>
      <c r="E24" s="10" t="inlineStr">
        <is>
          <t>毫米/年</t>
        </is>
      </c>
      <c r="F24" s="6" t="inlineStr">
        <is>
          <t>复杂</t>
        </is>
      </c>
      <c r="G24" s="10" t="inlineStr">
        <is>
          <t>R004（≥10mm/年）</t>
        </is>
      </c>
      <c r="H24" s="11" t="inlineStr">
        <is>
          <t>否</t>
        </is>
      </c>
      <c r="I24" s="10" t="inlineStr">
        <is>
          <t>留空</t>
        </is>
      </c>
      <c r="J24" s="10" t="inlineStr">
        <is>
          <t>须同方法测量或复核</t>
        </is>
      </c>
      <c r="K24" s="10" t="inlineStr">
        <is>
          <t>记录两次测量值与间隔；须标注同方法或已复核</t>
        </is>
      </c>
      <c r="L24" s="15" t="inlineStr">
        <is>
          <t>R004</t>
        </is>
      </c>
    </row>
    <row r="25">
      <c r="A25" s="10" t="inlineStr">
        <is>
          <t>lesion_morphology</t>
        </is>
      </c>
      <c r="B25" s="10" t="inlineStr">
        <is>
          <t>瘤体形态</t>
        </is>
      </c>
      <c r="C25" s="10" t="inlineStr">
        <is>
          <t>枚举</t>
        </is>
      </c>
      <c r="D25" s="10" t="inlineStr">
        <is>
          <t>LLM 抽取</t>
        </is>
      </c>
      <c r="E25" s="10" t="inlineStr">
        <is>
          <t>梭形 / 囊状 / 不规则 / 未描述</t>
        </is>
      </c>
      <c r="F25" s="6" t="inlineStr">
        <is>
          <t>复杂</t>
        </is>
      </c>
      <c r="G25" s="10" t="inlineStr">
        <is>
          <t>表1 M02；R008/R040</t>
        </is>
      </c>
      <c r="H25" s="11" t="inlineStr">
        <is>
          <t>否</t>
        </is>
      </c>
      <c r="I25" s="10" t="inlineStr">
        <is>
          <t>视同未描述</t>
        </is>
      </c>
      <c r="J25" s="10" t="inlineStr">
        <is>
          <t>形态异常独立于直径阈值</t>
        </is>
      </c>
      <c r="K25" s="10" t="inlineStr">
        <is>
          <t>记录形态描述原文</t>
        </is>
      </c>
      <c r="L25" s="15" t="inlineStr">
        <is>
          <t>O21 / R008 / R040</t>
        </is>
      </c>
    </row>
    <row r="26">
      <c r="A26" s="10" t="inlineStr">
        <is>
          <t>neck_length_mm</t>
        </is>
      </c>
      <c r="B26" s="10" t="inlineStr">
        <is>
          <t>近端瘤颈长度</t>
        </is>
      </c>
      <c r="C26" s="10" t="inlineStr">
        <is>
          <t>数字（1位小数）</t>
        </is>
      </c>
      <c r="D26" s="10" t="inlineStr">
        <is>
          <t>LLM 抽取</t>
        </is>
      </c>
      <c r="E26" s="10" t="inlineStr">
        <is>
          <t>毫米</t>
        </is>
      </c>
      <c r="F26" s="6" t="inlineStr">
        <is>
          <t>复杂</t>
        </is>
      </c>
      <c r="G26" s="10" t="inlineStr">
        <is>
          <t>O15（&lt;15mm）</t>
        </is>
      </c>
      <c r="H26" s="11" t="inlineStr">
        <is>
          <t>否</t>
        </is>
      </c>
      <c r="I26" s="10" t="inlineStr">
        <is>
          <t>归入 missing_critical_fields</t>
        </is>
      </c>
      <c r="J26" s="10" t="inlineStr">
        <is>
          <t>工程阈值；精密测量由 B 产出</t>
        </is>
      </c>
      <c r="K26" s="10" t="inlineStr">
        <is>
          <t>记录数值 + 来源（LLM / B 定量）+ 测量基准</t>
        </is>
      </c>
      <c r="L26" s="15" t="inlineStr">
        <is>
          <t>O15</t>
        </is>
      </c>
    </row>
    <row r="27">
      <c r="A27" s="10" t="inlineStr">
        <is>
          <t>neck_angle_deg</t>
        </is>
      </c>
      <c r="B27" s="10" t="inlineStr">
        <is>
          <t>瘤颈成角</t>
        </is>
      </c>
      <c r="C27" s="10" t="inlineStr">
        <is>
          <t>数字</t>
        </is>
      </c>
      <c r="D27" s="10" t="inlineStr">
        <is>
          <t>LLM 抽取</t>
        </is>
      </c>
      <c r="E27" s="10" t="inlineStr">
        <is>
          <t>度</t>
        </is>
      </c>
      <c r="F27" s="6" t="inlineStr">
        <is>
          <t>复杂</t>
        </is>
      </c>
      <c r="G27" s="10" t="inlineStr">
        <is>
          <t>O16（&gt;45°）</t>
        </is>
      </c>
      <c r="H27" s="11" t="inlineStr">
        <is>
          <t>否</t>
        </is>
      </c>
      <c r="I27" s="10" t="inlineStr">
        <is>
          <t>归入 missing_critical_fields</t>
        </is>
      </c>
      <c r="J27" s="10" t="inlineStr">
        <is>
          <t>工程阈值</t>
        </is>
      </c>
      <c r="K27" s="10" t="inlineStr">
        <is>
          <t>记录数值 + 来源（LLM / B 定量）</t>
        </is>
      </c>
      <c r="L27" s="15" t="inlineStr">
        <is>
          <t>O16</t>
        </is>
      </c>
    </row>
    <row r="28">
      <c r="A28" s="10" t="inlineStr">
        <is>
          <t>access_diameter_mm</t>
        </is>
      </c>
      <c r="B28" s="10" t="inlineStr">
        <is>
          <t>入路最小直径</t>
        </is>
      </c>
      <c r="C28" s="10" t="inlineStr">
        <is>
          <t>数字（1位小数）</t>
        </is>
      </c>
      <c r="D28" s="10" t="inlineStr">
        <is>
          <t>LLM 抽取</t>
        </is>
      </c>
      <c r="E28" s="10" t="inlineStr">
        <is>
          <t>毫米</t>
        </is>
      </c>
      <c r="F28" s="6" t="inlineStr">
        <is>
          <t>复杂</t>
        </is>
      </c>
      <c r="G28" s="10" t="inlineStr">
        <is>
          <t>O17（&lt;7mm）</t>
        </is>
      </c>
      <c r="H28" s="11" t="inlineStr">
        <is>
          <t>否</t>
        </is>
      </c>
      <c r="I28" s="10" t="inlineStr">
        <is>
          <t>归入 missing_critical_fields</t>
        </is>
      </c>
      <c r="J28" s="10" t="inlineStr">
        <is>
          <t>工程阈值</t>
        </is>
      </c>
      <c r="K28" s="10" t="inlineStr">
        <is>
          <t>记录数值 + 来源（LLM / B 定量）</t>
        </is>
      </c>
      <c r="L28" s="15" t="inlineStr">
        <is>
          <t>O17</t>
        </is>
      </c>
    </row>
    <row r="29">
      <c r="A29" s="10" t="inlineStr">
        <is>
          <t>anatomy_level</t>
        </is>
      </c>
      <c r="B29" s="10" t="inlineStr">
        <is>
          <t>解剖分型</t>
        </is>
      </c>
      <c r="C29" s="10" t="inlineStr">
        <is>
          <t>枚举</t>
        </is>
      </c>
      <c r="D29" s="10" t="inlineStr">
        <is>
          <t>LLM 抽取</t>
        </is>
      </c>
      <c r="E29" s="10" t="inlineStr">
        <is>
          <t>肾下 / 短颈肾下 / 近肾 / 旁肾 / 近内脏 / IV型TAAA</t>
        </is>
      </c>
      <c r="F29" s="6" t="inlineStr">
        <is>
          <t>复杂</t>
        </is>
      </c>
      <c r="G29" s="10" t="inlineStr">
        <is>
          <t>O20；R026/R057</t>
        </is>
      </c>
      <c r="H29" s="11" t="inlineStr">
        <is>
          <t>否</t>
        </is>
      </c>
      <c r="I29" s="10" t="inlineStr">
        <is>
          <t>归入 missing_critical_fields</t>
        </is>
      </c>
      <c r="J29" s="10" t="inlineStr">
        <is>
          <t>近肾/旁肾/近内脏即触发复杂</t>
        </is>
      </c>
      <c r="K29" s="10" t="inlineStr">
        <is>
          <t>记录分型判定依据 + 原文</t>
        </is>
      </c>
      <c r="L29" s="15" t="inlineStr">
        <is>
          <t>O20 / R026</t>
        </is>
      </c>
    </row>
    <row r="30">
      <c r="A30" s="10" t="inlineStr">
        <is>
          <t>neck_thrombus_calc_pct</t>
        </is>
      </c>
      <c r="B30" s="10" t="inlineStr">
        <is>
          <t>瘤颈血栓/钙化占比</t>
        </is>
      </c>
      <c r="C30" s="10" t="inlineStr">
        <is>
          <t>数字（整数）</t>
        </is>
      </c>
      <c r="D30" s="10" t="inlineStr">
        <is>
          <t>LLM 抽取</t>
        </is>
      </c>
      <c r="E30" s="10" t="inlineStr">
        <is>
          <t>百分比</t>
        </is>
      </c>
      <c r="F30" s="6" t="inlineStr">
        <is>
          <t>复杂</t>
        </is>
      </c>
      <c r="G30" s="10" t="inlineStr">
        <is>
          <t>O18（&gt;50%）</t>
        </is>
      </c>
      <c r="H30" s="11" t="inlineStr">
        <is>
          <t>否</t>
        </is>
      </c>
      <c r="I30" s="10" t="inlineStr">
        <is>
          <t>留空</t>
        </is>
      </c>
      <c r="J30" s="10" t="inlineStr">
        <is>
          <t>—</t>
        </is>
      </c>
      <c r="K30" s="10" t="inlineStr">
        <is>
          <t>记录数值 + 来源</t>
        </is>
      </c>
      <c r="L30" s="15" t="inlineStr">
        <is>
          <t>O18</t>
        </is>
      </c>
    </row>
    <row r="31">
      <c r="A31" s="10" t="inlineStr">
        <is>
          <t>tortuosity</t>
        </is>
      </c>
      <c r="B31" s="10" t="inlineStr">
        <is>
          <t>迂曲 / 极度成角</t>
        </is>
      </c>
      <c r="C31" s="10" t="inlineStr">
        <is>
          <t>枚举</t>
        </is>
      </c>
      <c r="D31" s="10" t="inlineStr">
        <is>
          <t>LLM 抽取</t>
        </is>
      </c>
      <c r="E31" s="10" t="inlineStr">
        <is>
          <t>有 / 无 / 未描述</t>
        </is>
      </c>
      <c r="F31" s="6" t="inlineStr">
        <is>
          <t>复杂</t>
        </is>
      </c>
      <c r="G31" s="10" t="inlineStr">
        <is>
          <t>O19（&gt;90°）</t>
        </is>
      </c>
      <c r="H31" s="11" t="inlineStr">
        <is>
          <t>否</t>
        </is>
      </c>
      <c r="I31" s="10" t="inlineStr">
        <is>
          <t>视同无</t>
        </is>
      </c>
      <c r="J31" s="10" t="inlineStr">
        <is>
          <t>—</t>
        </is>
      </c>
      <c r="K31" s="10" t="inlineStr">
        <is>
          <t>记录描述原文</t>
        </is>
      </c>
      <c r="L31" s="15" t="inlineStr">
        <is>
          <t>O19</t>
        </is>
      </c>
    </row>
    <row r="32">
      <c r="A32" s="10" t="inlineStr">
        <is>
          <t>prior_repair</t>
        </is>
      </c>
      <c r="B32" s="10" t="inlineStr">
        <is>
          <t>既往主动脉修复史</t>
        </is>
      </c>
      <c r="C32" s="10" t="inlineStr">
        <is>
          <t>枚举</t>
        </is>
      </c>
      <c r="D32" s="10" t="inlineStr">
        <is>
          <t>LLM 抽取</t>
        </is>
      </c>
      <c r="E32" s="10" t="inlineStr">
        <is>
          <t>无 / EVAR / OSR / FEVAR / BEVAR / 其他</t>
        </is>
      </c>
      <c r="F32" s="6" t="inlineStr">
        <is>
          <t>复杂（术后路径）</t>
        </is>
      </c>
      <c r="G32" s="10" t="inlineStr">
        <is>
          <t>表1 P01~P06；R060~R093</t>
        </is>
      </c>
      <c r="H32" s="11" t="inlineStr">
        <is>
          <t>是</t>
        </is>
      </c>
      <c r="I32" s="10" t="inlineStr">
        <is>
          <t>归入 missing_critical_fields</t>
        </is>
      </c>
      <c r="J32" s="10" t="inlineStr">
        <is>
          <t>术后与术前走不同路径，不可混淆</t>
        </is>
      </c>
      <c r="K32" s="10" t="inlineStr">
        <is>
          <t>记录术式 + 手术时间 + 原文出处（区分术前/术后路径的关键）</t>
        </is>
      </c>
      <c r="L32" s="15" t="inlineStr">
        <is>
          <t>R027 / R032 / R033 / R072~R075</t>
        </is>
      </c>
    </row>
    <row r="33">
      <c r="A33" s="10" t="inlineStr">
        <is>
          <t>postop_complication</t>
        </is>
      </c>
      <c r="B33" s="10" t="inlineStr">
        <is>
          <t>术后并发症</t>
        </is>
      </c>
      <c r="C33" s="10" t="inlineStr">
        <is>
          <t>文本</t>
        </is>
      </c>
      <c r="D33" s="10" t="inlineStr">
        <is>
          <t>LLM 抽取</t>
        </is>
      </c>
      <c r="E33" s="10" t="inlineStr">
        <is>
          <t>内漏类型 / 瘤囊增大 / 支架移位 / 闭塞 / 吻合口瘤 / 感染 / 瘘 …</t>
        </is>
      </c>
      <c r="F33" s="6" t="inlineStr">
        <is>
          <t>复杂（或急诊）</t>
        </is>
      </c>
      <c r="G33" s="10" t="inlineStr">
        <is>
          <t>表1 P03~P06；O22；R063~R093</t>
        </is>
      </c>
      <c r="H33" s="11" t="inlineStr">
        <is>
          <t>否</t>
        </is>
      </c>
      <c r="I33" s="10" t="inlineStr">
        <is>
          <t>留空</t>
        </is>
      </c>
      <c r="J33" s="10" t="inlineStr">
        <is>
          <t>术后异常需个体化分析</t>
        </is>
      </c>
      <c r="K33" s="10" t="inlineStr">
        <is>
          <t>记录并发症类型 + 发生时间 + 影像证据</t>
        </is>
      </c>
      <c r="L33" s="15" t="inlineStr">
        <is>
          <t>O22 / R060~R093</t>
        </is>
      </c>
    </row>
    <row r="34">
      <c r="A34" s="10" t="inlineStr">
        <is>
          <t>endoleak_type</t>
        </is>
      </c>
      <c r="B34" s="10" t="inlineStr">
        <is>
          <t>内漏类型</t>
        </is>
      </c>
      <c r="C34" s="10" t="inlineStr">
        <is>
          <t>枚举</t>
        </is>
      </c>
      <c r="D34" s="10" t="inlineStr">
        <is>
          <t>LLM 抽取</t>
        </is>
      </c>
      <c r="E34" s="10" t="inlineStr">
        <is>
          <t>无 / Ia / Ib / Ic / II / IIIa / IIIb / IV / 不明</t>
        </is>
      </c>
      <c r="F34" s="6" t="inlineStr">
        <is>
          <t>复杂（稳定II型→指南）</t>
        </is>
      </c>
      <c r="G34" s="10" t="inlineStr">
        <is>
          <t>表1 P03；O22；R063~R070</t>
        </is>
      </c>
      <c r="H34" s="11" t="inlineStr">
        <is>
          <t>否</t>
        </is>
      </c>
      <c r="I34" s="10" t="inlineStr">
        <is>
          <t>视同无</t>
        </is>
      </c>
      <c r="J34" s="10" t="inlineStr">
        <is>
          <t>Ⅰ/Ⅲ型高危；稳定Ⅱ型可指南（T10）</t>
        </is>
      </c>
      <c r="K34" s="10" t="inlineStr">
        <is>
          <t>记录内漏分型依据（影像）</t>
        </is>
      </c>
      <c r="L34" s="15" t="inlineStr">
        <is>
          <t>O22 / R063~R070</t>
        </is>
      </c>
    </row>
    <row r="35">
      <c r="A35" s="10" t="inlineStr">
        <is>
          <t>infection_evidence</t>
        </is>
      </c>
      <c r="B35" s="10" t="inlineStr">
        <is>
          <t>感染证据</t>
        </is>
      </c>
      <c r="C35" s="10" t="inlineStr">
        <is>
          <t>枚举</t>
        </is>
      </c>
      <c r="D35" s="10" t="inlineStr">
        <is>
          <t>LLM 抽取</t>
        </is>
      </c>
      <c r="E35" s="10" t="inlineStr">
        <is>
          <t>有（影像/病原支持）/ 无 / 疑似 / 未提及</t>
        </is>
      </c>
      <c r="F35" s="6" t="inlineStr">
        <is>
          <t>复杂</t>
        </is>
      </c>
      <c r="G35" s="10" t="inlineStr">
        <is>
          <t>表1 I01/I02；O21；R029~R037</t>
        </is>
      </c>
      <c r="H35" s="11" t="inlineStr">
        <is>
          <t>否</t>
        </is>
      </c>
      <c r="I35" s="10" t="inlineStr">
        <is>
          <t>视同未提及</t>
        </is>
      </c>
      <c r="J35" s="10" t="inlineStr">
        <is>
          <t>仅发热/菌血症不足以确诊</t>
        </is>
      </c>
      <c r="K35" s="10" t="inlineStr">
        <is>
          <t>记录影像/病原学证据；仅发热不予认定</t>
        </is>
      </c>
      <c r="L35" s="15" t="inlineStr">
        <is>
          <t>O21 / R029~R037</t>
        </is>
      </c>
    </row>
    <row r="36">
      <c r="A36" s="10" t="inlineStr">
        <is>
          <t>inflammatory_evidence</t>
        </is>
      </c>
      <c r="B36" s="10" t="inlineStr">
        <is>
          <t>炎症证据</t>
        </is>
      </c>
      <c r="C36" s="10" t="inlineStr">
        <is>
          <t>枚举</t>
        </is>
      </c>
      <c r="D36" s="10" t="inlineStr">
        <is>
          <t>LLM 抽取</t>
        </is>
      </c>
      <c r="E36" s="10" t="inlineStr">
        <is>
          <t>有 / 无 / 未提及</t>
        </is>
      </c>
      <c r="F36" s="6" t="inlineStr">
        <is>
          <t>复杂</t>
        </is>
      </c>
      <c r="G36" s="10" t="inlineStr">
        <is>
          <t>表1 M01；O21；R038/R039</t>
        </is>
      </c>
      <c r="H36" s="11" t="inlineStr">
        <is>
          <t>否</t>
        </is>
      </c>
      <c r="I36" s="10" t="inlineStr">
        <is>
          <t>视同未提及</t>
        </is>
      </c>
      <c r="J36" s="10" t="inlineStr">
        <is>
          <t>感染性与非感染性炎症不可混</t>
        </is>
      </c>
      <c r="K36" s="10" t="inlineStr">
        <is>
          <t>记录炎症证据；须与感染性区分</t>
        </is>
      </c>
      <c r="L36" s="15" t="inlineStr">
        <is>
          <t>O21 / R038 / R039</t>
        </is>
      </c>
    </row>
    <row r="37">
      <c r="A37" s="10" t="inlineStr">
        <is>
          <t>special_lesion_type</t>
        </is>
      </c>
      <c r="B37" s="10" t="inlineStr">
        <is>
          <t>特殊病变类型</t>
        </is>
      </c>
      <c r="C37" s="10" t="inlineStr">
        <is>
          <t>文本</t>
        </is>
      </c>
      <c r="D37" s="10" t="inlineStr">
        <is>
          <t>LLM 抽取</t>
        </is>
      </c>
      <c r="E37" s="10" t="inlineStr">
        <is>
          <t>PAU / IMH / IAAD / 假性动脉瘤 / 主动脉肠瘘 / 主动脉腔静脉瘘 …</t>
        </is>
      </c>
      <c r="F37" s="6" t="inlineStr">
        <is>
          <t>复杂</t>
        </is>
      </c>
      <c r="G37" s="10" t="inlineStr">
        <is>
          <t>表1 M03~M09；O21</t>
        </is>
      </c>
      <c r="H37" s="11" t="inlineStr">
        <is>
          <t>否</t>
        </is>
      </c>
      <c r="I37" s="10" t="inlineStr">
        <is>
          <t>留空</t>
        </is>
      </c>
      <c r="J37" s="10" t="inlineStr">
        <is>
          <t>对应表1 第5类</t>
        </is>
      </c>
      <c r="K37" s="10" t="inlineStr">
        <is>
          <t>记录病变类型 + 影像依据</t>
        </is>
      </c>
      <c r="L37" s="15" t="inlineStr">
        <is>
          <t>O21 / R040~R049</t>
        </is>
      </c>
    </row>
    <row r="38">
      <c r="A38" s="10" t="inlineStr">
        <is>
          <t>genetic_syndrome</t>
        </is>
      </c>
      <c r="B38" s="10" t="inlineStr">
        <is>
          <t>遗传/结缔组织病</t>
        </is>
      </c>
      <c r="C38" s="10" t="inlineStr">
        <is>
          <t>枚举</t>
        </is>
      </c>
      <c r="D38" s="10" t="inlineStr">
        <is>
          <t>LLM 抽取</t>
        </is>
      </c>
      <c r="E38" s="10" t="inlineStr">
        <is>
          <t>有（Marfan/LDS/vEDS 等）/ 无 / 未提及</t>
        </is>
      </c>
      <c r="F38" s="6" t="inlineStr">
        <is>
          <t>复杂</t>
        </is>
      </c>
      <c r="G38" s="10" t="inlineStr">
        <is>
          <t>表1 M09；R050</t>
        </is>
      </c>
      <c r="H38" s="11" t="inlineStr">
        <is>
          <t>否</t>
        </is>
      </c>
      <c r="I38" s="10" t="inlineStr">
        <is>
          <t>视同未提及</t>
        </is>
      </c>
      <c r="J38" s="10" t="inlineStr">
        <is>
          <t>不套用一般AAA择期阈值</t>
        </is>
      </c>
      <c r="K38" s="10" t="inlineStr">
        <is>
          <t>记录诊断依据（基因/临床标准）</t>
        </is>
      </c>
      <c r="L38" s="15" t="inlineStr">
        <is>
          <t>O21 / R050</t>
        </is>
      </c>
    </row>
    <row r="39">
      <c r="A39" s="10" t="inlineStr">
        <is>
          <t>malignancy</t>
        </is>
      </c>
      <c r="B39" s="10" t="inlineStr">
        <is>
          <t>合并恶性肿瘤</t>
        </is>
      </c>
      <c r="C39" s="10" t="inlineStr">
        <is>
          <t>枚举</t>
        </is>
      </c>
      <c r="D39" s="10" t="inlineStr">
        <is>
          <t>LLM 抽取</t>
        </is>
      </c>
      <c r="E39" s="10" t="inlineStr">
        <is>
          <t>有（活动性）/ 无 / 既往已愈 / 未提及</t>
        </is>
      </c>
      <c r="F39" s="6" t="inlineStr">
        <is>
          <t>复杂</t>
        </is>
      </c>
      <c r="G39" s="10" t="inlineStr">
        <is>
          <t>O21；R051</t>
        </is>
      </c>
      <c r="H39" s="11" t="inlineStr">
        <is>
          <t>否</t>
        </is>
      </c>
      <c r="I39" s="10" t="inlineStr">
        <is>
          <t>视同未提及</t>
        </is>
      </c>
      <c r="J39" s="10" t="inlineStr">
        <is>
          <t>影响治疗优先级</t>
        </is>
      </c>
      <c r="K39" s="10" t="inlineStr">
        <is>
          <t>记录肿瘤类型与活动状态</t>
        </is>
      </c>
      <c r="L39" s="15" t="inlineStr">
        <is>
          <t>O21 / R051</t>
        </is>
      </c>
    </row>
    <row r="40">
      <c r="A40" s="10" t="inlineStr">
        <is>
          <t>heart_failure_nyha</t>
        </is>
      </c>
      <c r="B40" s="10" t="inlineStr">
        <is>
          <t>心衰分级</t>
        </is>
      </c>
      <c r="C40" s="10" t="inlineStr">
        <is>
          <t>枚举</t>
        </is>
      </c>
      <c r="D40" s="10" t="inlineStr">
        <is>
          <t>LLM 抽取</t>
        </is>
      </c>
      <c r="E40" s="10" t="inlineStr">
        <is>
          <t>无 / I / II / III / IV / 未提及</t>
        </is>
      </c>
      <c r="F40" s="6" t="inlineStr">
        <is>
          <t>复杂</t>
        </is>
      </c>
      <c r="G40" s="10" t="inlineStr">
        <is>
          <t>O11（≥III）</t>
        </is>
      </c>
      <c r="H40" s="11" t="inlineStr">
        <is>
          <t>否</t>
        </is>
      </c>
      <c r="I40" s="10" t="inlineStr">
        <is>
          <t>视同未提及</t>
        </is>
      </c>
      <c r="J40" s="10" t="inlineStr">
        <is>
          <t>NYHA≥III 触发复杂</t>
        </is>
      </c>
      <c r="K40" s="10" t="inlineStr">
        <is>
          <t>记录分级依据（症状/客观检查）</t>
        </is>
      </c>
      <c r="L40" s="15" t="inlineStr">
        <is>
          <t>O11</t>
        </is>
      </c>
    </row>
    <row r="41">
      <c r="A41" s="10" t="inlineStr">
        <is>
          <t>copd</t>
        </is>
      </c>
      <c r="B41" s="10" t="inlineStr">
        <is>
          <t>COPD</t>
        </is>
      </c>
      <c r="C41" s="10" t="inlineStr">
        <is>
          <t>枚举</t>
        </is>
      </c>
      <c r="D41" s="10" t="inlineStr">
        <is>
          <t>LLM 抽取</t>
        </is>
      </c>
      <c r="E41" s="10" t="inlineStr">
        <is>
          <t>有 / 无 / 未提及</t>
        </is>
      </c>
      <c r="F41" s="6" t="inlineStr">
        <is>
          <t>复杂</t>
        </is>
      </c>
      <c r="G41" s="10" t="inlineStr">
        <is>
          <t>O12</t>
        </is>
      </c>
      <c r="H41" s="11" t="inlineStr">
        <is>
          <t>否</t>
        </is>
      </c>
      <c r="I41" s="10" t="inlineStr">
        <is>
          <t>视同未提及</t>
        </is>
      </c>
      <c r="J41" s="10" t="inlineStr">
        <is>
          <t>明确合并即触发复杂</t>
        </is>
      </c>
      <c r="K41" s="10" t="inlineStr">
        <is>
          <t>记录肺功能证据</t>
        </is>
      </c>
      <c r="L41" s="15" t="inlineStr">
        <is>
          <t>O12</t>
        </is>
      </c>
    </row>
    <row r="42">
      <c r="A42" s="10" t="inlineStr">
        <is>
          <t>ckd_stage</t>
        </is>
      </c>
      <c r="B42" s="10" t="inlineStr">
        <is>
          <t>CKD 分期</t>
        </is>
      </c>
      <c r="C42" s="10" t="inlineStr">
        <is>
          <t>枚举</t>
        </is>
      </c>
      <c r="D42" s="10" t="inlineStr">
        <is>
          <t>LLM 抽取</t>
        </is>
      </c>
      <c r="E42" s="10" t="inlineStr">
        <is>
          <t>无 / 1 / 2 / 3 / 4 / 5 / 未提及</t>
        </is>
      </c>
      <c r="F42" s="6" t="inlineStr">
        <is>
          <t>复杂</t>
        </is>
      </c>
      <c r="G42" s="10" t="inlineStr">
        <is>
          <t>O13（≥3）</t>
        </is>
      </c>
      <c r="H42" s="11" t="inlineStr">
        <is>
          <t>否</t>
        </is>
      </c>
      <c r="I42" s="10" t="inlineStr">
        <is>
          <t>视同未提及</t>
        </is>
      </c>
      <c r="J42" s="10" t="inlineStr">
        <is>
          <t>孤立一次肌酐异常不能确诊分期</t>
        </is>
      </c>
      <c r="K42" s="10" t="inlineStr">
        <is>
          <t>记录分期依据（须有 eGFR 趋势，单次异常不确诊）</t>
        </is>
      </c>
      <c r="L42" s="15" t="inlineStr">
        <is>
          <t>O13</t>
        </is>
      </c>
    </row>
    <row r="43">
      <c r="A43" s="10" t="inlineStr">
        <is>
          <t>cad</t>
        </is>
      </c>
      <c r="B43" s="10" t="inlineStr">
        <is>
          <t>冠心病</t>
        </is>
      </c>
      <c r="C43" s="10" t="inlineStr">
        <is>
          <t>枚举</t>
        </is>
      </c>
      <c r="D43" s="10" t="inlineStr">
        <is>
          <t>LLM 抽取</t>
        </is>
      </c>
      <c r="E43" s="10" t="inlineStr">
        <is>
          <t>有 / 无 / 未提及</t>
        </is>
      </c>
      <c r="F43" s="6" t="inlineStr">
        <is>
          <t>复杂</t>
        </is>
      </c>
      <c r="G43" s="10" t="inlineStr">
        <is>
          <t>O14</t>
        </is>
      </c>
      <c r="H43" s="11" t="inlineStr">
        <is>
          <t>否</t>
        </is>
      </c>
      <c r="I43" s="10" t="inlineStr">
        <is>
          <t>视同未提及</t>
        </is>
      </c>
      <c r="J43" s="10" t="inlineStr">
        <is>
          <t>已确诊并存即触发复杂</t>
        </is>
      </c>
      <c r="K43" s="10" t="inlineStr">
        <is>
          <t>记录冠心病诊断证据</t>
        </is>
      </c>
      <c r="L43" s="15" t="inlineStr">
        <is>
          <t>O14</t>
        </is>
      </c>
    </row>
    <row r="44">
      <c r="A44" s="10" t="inlineStr">
        <is>
          <t>complex_surgery_history</t>
        </is>
      </c>
      <c r="B44" s="10" t="inlineStr">
        <is>
          <t>复杂手术/多次再干预史</t>
        </is>
      </c>
      <c r="C44" s="10" t="inlineStr">
        <is>
          <t>枚举</t>
        </is>
      </c>
      <c r="D44" s="10" t="inlineStr">
        <is>
          <t>LLM 抽取</t>
        </is>
      </c>
      <c r="E44" s="10" t="inlineStr">
        <is>
          <t>有 / 无 / 未提及</t>
        </is>
      </c>
      <c r="F44" s="6" t="inlineStr">
        <is>
          <t>复杂</t>
        </is>
      </c>
      <c r="G44" s="10" t="inlineStr">
        <is>
          <t>O23；R062</t>
        </is>
      </c>
      <c r="H44" s="11" t="inlineStr">
        <is>
          <t>否</t>
        </is>
      </c>
      <c r="I44" s="10" t="inlineStr">
        <is>
          <t>视同未提及</t>
        </is>
      </c>
      <c r="J44" s="10" t="inlineStr">
        <is>
          <t>FEVAR/BEVAR/redo</t>
        </is>
      </c>
      <c r="K44" s="10" t="inlineStr">
        <is>
          <t>记录既往术式序列（FEVAR/BEVAR/redo）</t>
        </is>
      </c>
      <c r="L44" s="15" t="inlineStr">
        <is>
          <t>O23 / R062</t>
        </is>
      </c>
    </row>
    <row r="45">
      <c r="A45" s="10" t="inlineStr">
        <is>
          <t>evidence_conflict</t>
        </is>
      </c>
      <c r="B45" s="10" t="inlineStr">
        <is>
          <t>证据冲突标记</t>
        </is>
      </c>
      <c r="C45" s="10" t="inlineStr">
        <is>
          <t>枚举</t>
        </is>
      </c>
      <c r="D45" s="10" t="inlineStr">
        <is>
          <t>LLM 抽取（人工可覆写）</t>
        </is>
      </c>
      <c r="E45" s="10" t="inlineStr">
        <is>
          <t>有 / 无 / 未提及</t>
        </is>
      </c>
      <c r="F45" s="6" t="inlineStr">
        <is>
          <t>复杂</t>
        </is>
      </c>
      <c r="G45" s="10" t="inlineStr">
        <is>
          <t>O24</t>
        </is>
      </c>
      <c r="H45" s="11" t="inlineStr">
        <is>
          <t>否</t>
        </is>
      </c>
      <c r="I45" s="10" t="inlineStr">
        <is>
          <t>视同无</t>
        </is>
      </c>
      <c r="J45" s="10" t="inlineStr">
        <is>
          <t>指南与影像等关键证据结论矛盾</t>
        </is>
      </c>
      <c r="K45" s="10" t="inlineStr">
        <is>
          <t>记录冲突双方的具体结论与来源（谁 vs 谁）</t>
        </is>
      </c>
      <c r="L45" s="15" t="inlineStr">
        <is>
          <t>O24</t>
        </is>
      </c>
    </row>
    <row r="46">
      <c r="A46" s="16" t="inlineStr">
        <is>
          <t>urgency_flag</t>
        </is>
      </c>
      <c r="B46" s="16" t="inlineStr">
        <is>
          <t>临床指定急症标志</t>
        </is>
      </c>
      <c r="C46" s="16" t="inlineStr">
        <is>
          <t>布尔</t>
        </is>
      </c>
      <c r="D46" s="16" t="inlineStr">
        <is>
          <t>临床授权字段（人工/系统显式置位）</t>
        </is>
      </c>
      <c r="E46" s="16" t="inlineStr">
        <is>
          <t>是 / 否</t>
        </is>
      </c>
      <c r="F46" s="6" t="inlineStr">
        <is>
          <t>急诊</t>
        </is>
      </c>
      <c r="G46" s="16" t="inlineStr">
        <is>
          <t>O01</t>
        </is>
      </c>
      <c r="H46" s="17" t="inlineStr">
        <is>
          <t>否</t>
        </is>
      </c>
      <c r="I46" s="16" t="inlineStr">
        <is>
          <t>视同否</t>
        </is>
      </c>
      <c r="J46" s="16" t="inlineStr">
        <is>
          <t>独立于自动判定；置位即最高优先</t>
        </is>
      </c>
      <c r="K46" s="16" t="inlineStr">
        <is>
          <t>记录置位者（人工/系统）+ 时间戳 + 置位理由</t>
        </is>
      </c>
      <c r="L46" s="15" t="inlineStr">
        <is>
          <t>O01</t>
        </is>
      </c>
    </row>
    <row r="47">
      <c r="A47" s="16" t="inlineStr">
        <is>
          <t>urgency_triggered</t>
        </is>
      </c>
      <c r="B47" s="16" t="inlineStr">
        <is>
          <t>急诊触发</t>
        </is>
      </c>
      <c r="C47" s="16" t="inlineStr">
        <is>
          <t>布尔</t>
        </is>
      </c>
      <c r="D47" s="16" t="inlineStr">
        <is>
          <t>确定性代码（读事实层）</t>
        </is>
      </c>
      <c r="E47" s="16" t="inlineStr">
        <is>
          <t>是 / 否</t>
        </is>
      </c>
      <c r="F47" s="6" t="inlineStr">
        <is>
          <t>急诊</t>
        </is>
      </c>
      <c r="G47" s="16" t="inlineStr">
        <is>
          <t>O02~O10（综合）</t>
        </is>
      </c>
      <c r="H47" s="17" t="inlineStr">
        <is>
          <t>是</t>
        </is>
      </c>
      <c r="I47" s="16" t="inlineStr">
        <is>
          <t>—</t>
        </is>
      </c>
      <c r="J47" s="16">
        <f> urgency_flag ∨ 破裂 ∨ 症状性 ∨ 休克 ∨ 出血 ∨ 急性缺血 ∨ 灌注障碍 ∨ 脓毒症</f>
        <v/>
      </c>
      <c r="K47" s="16" t="inlineStr">
        <is>
          <t>记录参与计算的 8 个子条件逐条求值结果（O02~O10）+ 事实字段快照</t>
        </is>
      </c>
      <c r="L47" s="15" t="inlineStr">
        <is>
          <t>O02~O10</t>
        </is>
      </c>
    </row>
    <row r="48">
      <c r="A48" s="16" t="inlineStr">
        <is>
          <t>is_special_lesion</t>
        </is>
      </c>
      <c r="B48" s="16" t="inlineStr">
        <is>
          <t>特殊病变标记</t>
        </is>
      </c>
      <c r="C48" s="16" t="inlineStr">
        <is>
          <t>布尔</t>
        </is>
      </c>
      <c r="D48" s="16" t="inlineStr">
        <is>
          <t>确定性代码</t>
        </is>
      </c>
      <c r="E48" s="16" t="inlineStr">
        <is>
          <t>是 / 否</t>
        </is>
      </c>
      <c r="F48" s="6" t="inlineStr">
        <is>
          <t>复杂</t>
        </is>
      </c>
      <c r="G48" s="16" t="inlineStr">
        <is>
          <t>O21</t>
        </is>
      </c>
      <c r="H48" s="17" t="inlineStr">
        <is>
          <t>是</t>
        </is>
      </c>
      <c r="I48" s="16" t="inlineStr">
        <is>
          <t>—</t>
        </is>
      </c>
      <c r="J48" s="16" t="inlineStr">
        <is>
          <t>感染/炎症/PAU/IMH/IAAD/假性/囊状/遗传/恶性肿瘤</t>
        </is>
      </c>
      <c r="K48" s="16" t="inlineStr">
        <is>
          <t>记录 O21 各子项（感染/炎症/PAU/IMH/IAAD/假性/囊状/遗传/恶性）命中明细</t>
        </is>
      </c>
      <c r="L48" s="15" t="inlineStr">
        <is>
          <t>O21</t>
        </is>
      </c>
    </row>
    <row r="49">
      <c r="A49" s="16" t="inlineStr">
        <is>
          <t>complex_anatomy</t>
        </is>
      </c>
      <c r="B49" s="16" t="inlineStr">
        <is>
          <t>复杂解剖标记</t>
        </is>
      </c>
      <c r="C49" s="16" t="inlineStr">
        <is>
          <t>布尔</t>
        </is>
      </c>
      <c r="D49" s="16" t="inlineStr">
        <is>
          <t>确定性代码</t>
        </is>
      </c>
      <c r="E49" s="16" t="inlineStr">
        <is>
          <t>是 / 否</t>
        </is>
      </c>
      <c r="F49" s="6" t="inlineStr">
        <is>
          <t>复杂</t>
        </is>
      </c>
      <c r="G49" s="16" t="inlineStr">
        <is>
          <t>O15~O20</t>
        </is>
      </c>
      <c r="H49" s="17" t="inlineStr">
        <is>
          <t>是</t>
        </is>
      </c>
      <c r="I49" s="16" t="inlineStr">
        <is>
          <t>—</t>
        </is>
      </c>
      <c r="J49" s="16" t="inlineStr">
        <is>
          <t>颈长&lt;15 ∨ 成角&gt;45 ∨ 入路&lt;7 ∨ 近肾/旁肾 ∨ 血栓钙化&gt;50 ∨ 迂曲</t>
        </is>
      </c>
      <c r="K49" s="16" t="inlineStr">
        <is>
          <t>记录 O15~O20 各阈值比较的实际值与阈值（如 颈长 12mm &lt; 15mm）</t>
        </is>
      </c>
      <c r="L49" s="15" t="inlineStr">
        <is>
          <t>O15~O20</t>
        </is>
      </c>
    </row>
    <row r="50">
      <c r="A50" s="16" t="inlineStr">
        <is>
          <t>severe_comorbidity</t>
        </is>
      </c>
      <c r="B50" s="16" t="inlineStr">
        <is>
          <t>严重合并症标记</t>
        </is>
      </c>
      <c r="C50" s="16" t="inlineStr">
        <is>
          <t>布尔</t>
        </is>
      </c>
      <c r="D50" s="16" t="inlineStr">
        <is>
          <t>确定性代码</t>
        </is>
      </c>
      <c r="E50" s="16" t="inlineStr">
        <is>
          <t>是 / 否</t>
        </is>
      </c>
      <c r="F50" s="6" t="inlineStr">
        <is>
          <t>复杂</t>
        </is>
      </c>
      <c r="G50" s="16" t="inlineStr">
        <is>
          <t>O11~O14</t>
        </is>
      </c>
      <c r="H50" s="17" t="inlineStr">
        <is>
          <t>是</t>
        </is>
      </c>
      <c r="I50" s="16" t="inlineStr">
        <is>
          <t>—</t>
        </is>
      </c>
      <c r="J50" s="16" t="inlineStr">
        <is>
          <t>NYHA≥III ∨ COPD ∨ CKD≥3 ∨ CAD</t>
        </is>
      </c>
      <c r="K50" s="16" t="inlineStr">
        <is>
          <t>记录 O11~O14 各子项命中明细</t>
        </is>
      </c>
      <c r="L50" s="15" t="inlineStr">
        <is>
          <t>O11~O14</t>
        </is>
      </c>
    </row>
    <row r="51">
      <c r="A51" s="16" t="inlineStr">
        <is>
          <t>guideline_eligible</t>
        </is>
      </c>
      <c r="B51" s="16" t="inlineStr">
        <is>
          <t>指南模式适用</t>
        </is>
      </c>
      <c r="C51" s="16" t="inlineStr">
        <is>
          <t>布尔</t>
        </is>
      </c>
      <c r="D51" s="16" t="inlineStr">
        <is>
          <t>确定性代码</t>
        </is>
      </c>
      <c r="E51" s="16" t="inlineStr">
        <is>
          <t>是 / 否</t>
        </is>
      </c>
      <c r="F51" s="6" t="inlineStr">
        <is>
          <t>指南</t>
        </is>
      </c>
      <c r="G51" s="16" t="inlineStr">
        <is>
          <t>O26, O27</t>
        </is>
      </c>
      <c r="H51" s="17" t="inlineStr">
        <is>
          <t>是</t>
        </is>
      </c>
      <c r="I51" s="16" t="inlineStr">
        <is>
          <t>—</t>
        </is>
      </c>
      <c r="J51" s="16" t="inlineStr">
        <is>
          <t>急诊/复杂均已排除 ∧ 资料齐全 ∧ 低复杂度</t>
        </is>
      </c>
      <c r="K51" s="16" t="inlineStr">
        <is>
          <t>记录 O26/O27 的排除过程：急诊/复杂分别为何被排除</t>
        </is>
      </c>
      <c r="L51" s="15" t="inlineStr">
        <is>
          <t>O26 / O27</t>
        </is>
      </c>
    </row>
    <row r="52">
      <c r="A52" s="16" t="inlineStr">
        <is>
          <t>missing_critical_fields</t>
        </is>
      </c>
      <c r="B52" s="16" t="inlineStr">
        <is>
          <t>关键字段缺失清单</t>
        </is>
      </c>
      <c r="C52" s="16" t="inlineStr">
        <is>
          <t>文本（列表）</t>
        </is>
      </c>
      <c r="D52" s="16" t="inlineStr">
        <is>
          <t>确定性代码</t>
        </is>
      </c>
      <c r="E52" s="16" t="inlineStr">
        <is>
          <t>字段名列表，如 [sex, max_diameter_mm]</t>
        </is>
      </c>
      <c r="F52" s="6" t="inlineStr">
        <is>
          <t>复杂（兜底）</t>
        </is>
      </c>
      <c r="G52" s="16" t="inlineStr">
        <is>
          <t>O25</t>
        </is>
      </c>
      <c r="H52" s="17" t="inlineStr">
        <is>
          <t>是</t>
        </is>
      </c>
      <c r="I52" s="16" t="inlineStr">
        <is>
          <t>—</t>
        </is>
      </c>
      <c r="J52" s="16" t="inlineStr">
        <is>
          <t>边界=「必填=是 且 来源为 LLM 抽取」的字段集（6 个）；非空即触发复杂 + confidence×0.5</t>
        </is>
      </c>
      <c r="K52" s="16" t="inlineStr">
        <is>
          <t>记录「必填字段集」的规则版本 + 实际缺失清单</t>
        </is>
      </c>
      <c r="L52" s="15" t="inlineStr">
        <is>
          <t>O25</t>
        </is>
      </c>
    </row>
    <row r="53">
      <c r="A53" s="16" t="inlineStr">
        <is>
          <t>confidence</t>
        </is>
      </c>
      <c r="B53" s="16" t="inlineStr">
        <is>
          <t>置信度</t>
        </is>
      </c>
      <c r="C53" s="16" t="inlineStr">
        <is>
          <t>数字（2位小数）</t>
        </is>
      </c>
      <c r="D53" s="16" t="inlineStr">
        <is>
          <t>确定性代码</t>
        </is>
      </c>
      <c r="E53" s="16" t="inlineStr">
        <is>
          <t>0.00 ~ 1.00</t>
        </is>
      </c>
      <c r="F53" s="6" t="inlineStr">
        <is>
          <t>—（输出层）</t>
        </is>
      </c>
      <c r="G53" s="16" t="inlineStr">
        <is>
          <t>O25</t>
        </is>
      </c>
      <c r="H53" s="17" t="inlineStr">
        <is>
          <t>是</t>
        </is>
      </c>
      <c r="I53" s="16" t="inlineStr">
        <is>
          <t>—</t>
        </is>
      </c>
      <c r="J53" s="16" t="inlineStr">
        <is>
          <t>关键字段缺失时 ×0.5；医学判断仍需人工审核</t>
        </is>
      </c>
      <c r="K53" s="16" t="inlineStr">
        <is>
          <t>记录计算过程：基础置信度 − 缺失扣分（×0.5）</t>
        </is>
      </c>
      <c r="L53" s="15" t="inlineStr">
        <is>
          <t>O25</t>
        </is>
      </c>
    </row>
    <row r="54">
      <c r="A54" s="16" t="inlineStr">
        <is>
          <t>manual_review_required</t>
        </is>
      </c>
      <c r="B54" s="16" t="inlineStr">
        <is>
          <t>需人工复核</t>
        </is>
      </c>
      <c r="C54" s="16" t="inlineStr">
        <is>
          <t>布尔</t>
        </is>
      </c>
      <c r="D54" s="16" t="inlineStr">
        <is>
          <t>确定性代码</t>
        </is>
      </c>
      <c r="E54" s="16" t="inlineStr">
        <is>
          <t>是 / 否</t>
        </is>
      </c>
      <c r="F54" s="6" t="inlineStr">
        <is>
          <t>—（输出层）</t>
        </is>
      </c>
      <c r="G54" s="16" t="inlineStr">
        <is>
          <t>O24, O25</t>
        </is>
      </c>
      <c r="H54" s="17" t="inlineStr">
        <is>
          <t>是</t>
        </is>
      </c>
      <c r="I54" s="16" t="inlineStr">
        <is>
          <t>—</t>
        </is>
      </c>
      <c r="J54" s="16" t="inlineStr">
        <is>
          <t>缺失/冲突/无法识别 时置真</t>
        </is>
      </c>
      <c r="K54" s="16" t="inlineStr">
        <is>
          <t>记录触发原因（缺失/冲突/无法识别）及对应规则编号</t>
        </is>
      </c>
      <c r="L54" s="15" t="inlineStr">
        <is>
          <t>O24 / O25</t>
        </is>
      </c>
    </row>
    <row r="55">
      <c r="A55" s="5" t="inlineStr">
        <is>
          <t>route_mode</t>
        </is>
      </c>
      <c r="B55" s="5" t="inlineStr">
        <is>
          <t>最终路由模式</t>
        </is>
      </c>
      <c r="C55" s="5" t="inlineStr">
        <is>
          <t>枚举</t>
        </is>
      </c>
      <c r="D55" s="5" t="inlineStr">
        <is>
          <t>确定性代码</t>
        </is>
      </c>
      <c r="E55" s="5" t="inlineStr">
        <is>
          <t>急诊模式 / 复杂模式 / 指南模式</t>
        </is>
      </c>
      <c r="F55" s="6" t="inlineStr">
        <is>
          <t>输出（急诊&gt;复杂&gt;指南）</t>
        </is>
      </c>
      <c r="G55" s="5" t="inlineStr">
        <is>
          <t>表1 三模式；表2 优先级</t>
        </is>
      </c>
      <c r="H55" s="7" t="inlineStr">
        <is>
          <t>是</t>
        </is>
      </c>
      <c r="I55" s="5" t="inlineStr">
        <is>
          <t>—</t>
        </is>
      </c>
      <c r="J55" s="5" t="inlineStr">
        <is>
          <t>优先级：急诊 &gt; 复杂 &gt; 指南</t>
        </is>
      </c>
      <c r="K55" s="5" t="inlineStr">
        <is>
          <t>记录 P1~P8 逐条求值路径（含被否决项）+ 规则版本 + 输入快照哈希；可完整重放</t>
        </is>
      </c>
      <c r="L55" s="15" t="inlineStr">
        <is>
          <t>表1 三模式；O29</t>
        </is>
      </c>
    </row>
  </sheetData>
  <autoFilter ref="A4:L55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2" customWidth="1" min="3" max="3"/>
  </cols>
  <sheetData>
    <row r="1">
      <c r="A1" s="1" t="inlineStr">
        <is>
          <t>字段 × 路由归属 汇总（按表1 三模式统计，含公式联动）</t>
        </is>
      </c>
    </row>
    <row r="2">
      <c r="A2" s="2" t="inlineStr">
        <is>
          <t>路由归属列中命中即计入；「全模式/输出层/证据层」单列统计。</t>
        </is>
      </c>
    </row>
    <row r="4">
      <c r="A4" s="3" t="inlineStr">
        <is>
          <t>路由模式（表1）</t>
        </is>
      </c>
      <c r="B4" s="3" t="inlineStr">
        <is>
          <t>所需字段数</t>
        </is>
      </c>
      <c r="C4" s="3" t="inlineStr">
        <is>
          <t>说明</t>
        </is>
      </c>
    </row>
    <row r="5">
      <c r="A5" s="18" t="inlineStr">
        <is>
          <t>急诊</t>
        </is>
      </c>
      <c r="B5" s="19" t="n">
        <v>15</v>
      </c>
      <c r="C5" s="20" t="inlineStr">
        <is>
          <t>破裂/症状性/休克/出血等触发的字段</t>
        </is>
      </c>
    </row>
    <row r="6">
      <c r="A6" s="18" t="inlineStr">
        <is>
          <t>复杂</t>
        </is>
      </c>
      <c r="B6" s="19" t="n">
        <v>30</v>
      </c>
      <c r="C6" s="20" t="inlineStr">
        <is>
          <t>特殊病变/复杂解剖/合并症/术后异常</t>
        </is>
      </c>
    </row>
    <row r="7">
      <c r="A7" s="18" t="inlineStr">
        <is>
          <t>指南</t>
        </is>
      </c>
      <c r="B7" s="19" t="n">
        <v>6</v>
      </c>
      <c r="C7" s="20" t="inlineStr">
        <is>
          <t>常规低复杂度病例（含主动脉/髂动脉直径阈值分层）</t>
        </is>
      </c>
    </row>
    <row r="8">
      <c r="A8" s="18" t="inlineStr">
        <is>
          <t>全模式（多标签）</t>
        </is>
      </c>
      <c r="B8" s="19" t="n">
        <v>2</v>
      </c>
      <c r="C8" s="20" t="inlineStr">
        <is>
          <t>病种归类字段，三模式共用</t>
        </is>
      </c>
    </row>
    <row r="9">
      <c r="A9" s="18" t="inlineStr">
        <is>
          <t>系统/输出层</t>
        </is>
      </c>
      <c r="B9" s="19" t="n">
        <v>5</v>
      </c>
      <c r="C9" s="20" t="inlineStr">
        <is>
          <t>非病种路由字段</t>
        </is>
      </c>
    </row>
    <row r="10">
      <c r="A10" s="21" t="inlineStr">
        <is>
          <t>合计（字段总数）</t>
        </is>
      </c>
      <c r="B10" s="22" t="n">
        <v>51</v>
      </c>
      <c r="C10" s="23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8" customWidth="1" min="3" max="3"/>
    <col width="20" customWidth="1" min="4" max="4"/>
    <col width="30" customWidth="1" min="5" max="5"/>
    <col width="20" customWidth="1" min="6" max="6"/>
  </cols>
  <sheetData>
    <row r="1">
      <c r="A1" s="1" t="inlineStr">
        <is>
          <t>Router 判定条件（P1~P8）→ VascCase 字段映射</t>
        </is>
      </c>
    </row>
    <row r="2">
      <c r="A2" s="2" t="inlineStr">
        <is>
          <t>P1~P8 是表2 的工程落地骨架；最后一列映射回表1 的三模式。</t>
        </is>
      </c>
    </row>
    <row r="4">
      <c r="A4" s="3" t="inlineStr">
        <is>
          <t>判定</t>
        </is>
      </c>
      <c r="B4" s="3" t="inlineStr">
        <is>
          <t>判定条件</t>
        </is>
      </c>
      <c r="C4" s="3" t="inlineStr">
        <is>
          <t>所需 VascCase 字段</t>
        </is>
      </c>
      <c r="D4" s="3" t="inlineStr">
        <is>
          <t>为真时的路由</t>
        </is>
      </c>
      <c r="E4" s="3" t="inlineStr">
        <is>
          <t>映射表1 归属</t>
        </is>
      </c>
      <c r="F4" s="3" t="inlineStr">
        <is>
          <t>对应覆盖规则</t>
        </is>
      </c>
    </row>
    <row r="5">
      <c r="A5" s="19" t="inlineStr">
        <is>
          <t>P1</t>
        </is>
      </c>
      <c r="B5" s="20" t="inlineStr">
        <is>
          <t>存在急诊触发？</t>
        </is>
      </c>
      <c r="C5" s="20" t="inlineStr">
        <is>
          <t>urgency_flag / rupture_status / symptom_aaa_related / hemodynamic_instability / active_hemorrhage / acute_limb_ischemia / visceral_malperfusion / septic_shock</t>
        </is>
      </c>
      <c r="D5" s="19" t="inlineStr">
        <is>
          <t>急诊模式</t>
        </is>
      </c>
      <c r="E5" s="20" t="inlineStr">
        <is>
          <t>表1：S01/S02/R01/R02/M07/L03/P06</t>
        </is>
      </c>
      <c r="F5" s="20" t="inlineStr">
        <is>
          <t>O01~O10</t>
        </is>
      </c>
    </row>
    <row r="6">
      <c r="A6" s="19" t="inlineStr">
        <is>
          <t>P2</t>
        </is>
      </c>
      <c r="B6" s="20" t="inlineStr">
        <is>
          <t>特殊主动脉病种或复杂病变？</t>
        </is>
      </c>
      <c r="C6" s="20" t="inlineStr">
        <is>
          <t>disease_category / lesion_subtype / infection_evidence / inflammatory_evidence / special_lesion_type / lesion_morphology / genetic_syndrome / malignancy</t>
        </is>
      </c>
      <c r="D6" s="19" t="inlineStr">
        <is>
          <t>复杂模式</t>
        </is>
      </c>
      <c r="E6" s="20" t="inlineStr">
        <is>
          <t>表1：I01/I02/M01~M09/L02</t>
        </is>
      </c>
      <c r="F6" s="20" t="inlineStr">
        <is>
          <t>O21</t>
        </is>
      </c>
    </row>
    <row r="7">
      <c r="A7" s="19" t="inlineStr">
        <is>
          <t>P3</t>
        </is>
      </c>
      <c r="B7" s="20" t="inlineStr">
        <is>
          <t>复杂解剖 / 复杂手术 / 异常术后？</t>
        </is>
      </c>
      <c r="C7" s="20" t="inlineStr">
        <is>
          <t>anatomy_level / neck_length_mm / neck_angle_deg / access_diameter_mm / neck_thrombus_calc_pct / tortuosity / prior_repair / postop_complication / endoleak_type / complex_surgery_history</t>
        </is>
      </c>
      <c r="D7" s="19" t="inlineStr">
        <is>
          <t>复杂模式</t>
        </is>
      </c>
      <c r="E7" s="20" t="inlineStr">
        <is>
          <t>表1：P03~P05/L02</t>
        </is>
      </c>
      <c r="F7" s="20" t="inlineStr">
        <is>
          <t>O15~O20, O22, O23</t>
        </is>
      </c>
    </row>
    <row r="8">
      <c r="A8" s="19" t="inlineStr">
        <is>
          <t>P4</t>
        </is>
      </c>
      <c r="B8" s="20" t="inlineStr">
        <is>
          <t>严重合并症存在？</t>
        </is>
      </c>
      <c r="C8" s="20" t="inlineStr">
        <is>
          <t>heart_failure_nyha / copd / ckd_stage / cad</t>
        </is>
      </c>
      <c r="D8" s="19" t="inlineStr">
        <is>
          <t>复杂模式</t>
        </is>
      </c>
      <c r="E8" s="20" t="inlineStr">
        <is>
          <t>表1：复杂模式（合并症）</t>
        </is>
      </c>
      <c r="F8" s="20" t="inlineStr">
        <is>
          <t>O11~O14</t>
        </is>
      </c>
    </row>
    <row r="9">
      <c r="A9" s="19" t="inlineStr">
        <is>
          <t>P5</t>
        </is>
      </c>
      <c r="B9" s="20" t="inlineStr">
        <is>
          <t>指南与影像证据冲突？</t>
        </is>
      </c>
      <c r="C9" s="20" t="inlineStr">
        <is>
          <t>evidence_conflict</t>
        </is>
      </c>
      <c r="D9" s="19" t="inlineStr">
        <is>
          <t>复杂模式 + 人工复核</t>
        </is>
      </c>
      <c r="E9" s="20" t="inlineStr">
        <is>
          <t>表1：复杂模式（资料冲突）</t>
        </is>
      </c>
      <c r="F9" s="20" t="inlineStr">
        <is>
          <t>O24</t>
        </is>
      </c>
    </row>
    <row r="10">
      <c r="A10" s="19" t="inlineStr">
        <is>
          <t>P6</t>
        </is>
      </c>
      <c r="B10" s="20" t="inlineStr">
        <is>
          <t>决策关键字段缺失 / 病种无法识别？</t>
        </is>
      </c>
      <c r="C10" s="20" t="inlineStr">
        <is>
          <t>missing_critical_fields / disease_category / lesion_subtype</t>
        </is>
      </c>
      <c r="D10" s="19" t="inlineStr">
        <is>
          <t>复杂模式（×0.5）+ 人工复核</t>
        </is>
      </c>
      <c r="E10" s="20" t="inlineStr">
        <is>
          <t>表1：复杂模式（兜底）</t>
        </is>
      </c>
      <c r="F10" s="20" t="inlineStr">
        <is>
          <t>O25</t>
        </is>
      </c>
    </row>
    <row r="11">
      <c r="A11" s="19" t="inlineStr">
        <is>
          <t>P7</t>
        </is>
      </c>
      <c r="B11" s="20" t="inlineStr">
        <is>
          <t>属于低复杂度常规指南场景？</t>
        </is>
      </c>
      <c r="C11" s="20" t="inlineStr">
        <is>
          <t>guideline_eligible（急诊/复杂均已排除；含 max_diameter_mm / iliac_diameter_mm 阈值分层）</t>
        </is>
      </c>
      <c r="D11" s="19" t="inlineStr">
        <is>
          <t>指南模式</t>
        </is>
      </c>
      <c r="E11" s="20" t="inlineStr">
        <is>
          <t>表1：A01/A02/L01/P01/P02</t>
        </is>
      </c>
      <c r="F11" s="20" t="inlineStr">
        <is>
          <t>O26, O27</t>
        </is>
      </c>
    </row>
    <row r="12">
      <c r="A12" s="19" t="inlineStr">
        <is>
          <t>P8</t>
        </is>
      </c>
      <c r="B12" s="20" t="inlineStr">
        <is>
          <t>全部适用前置条件已核实？</t>
        </is>
      </c>
      <c r="C12" s="20" t="inlineStr">
        <is>
          <t>missing_critical_fields 为空 ∧ confidence 正常</t>
        </is>
      </c>
      <c r="D12" s="19" t="inlineStr">
        <is>
          <t>指南模式</t>
        </is>
      </c>
      <c r="E12" s="20" t="inlineStr">
        <is>
          <t>表1：指南模式前置</t>
        </is>
      </c>
      <c r="F12" s="20" t="inlineStr">
        <is>
          <t>O26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4" customWidth="1" min="3" max="3"/>
    <col width="12" customWidth="1" min="4" max="4"/>
    <col width="40" customWidth="1" min="5" max="5"/>
  </cols>
  <sheetData>
    <row r="1">
      <c r="A1" s="1" t="inlineStr">
        <is>
          <t>关键枚举字段的取值表（供 LLM 抽取约束 + 数据校验）</t>
        </is>
      </c>
    </row>
    <row r="3">
      <c r="A3" s="3" t="inlineStr">
        <is>
          <t>字段名</t>
        </is>
      </c>
      <c r="B3" s="3" t="inlineStr">
        <is>
          <t>含义</t>
        </is>
      </c>
      <c r="C3" s="3" t="inlineStr">
        <is>
          <t>允许取值</t>
        </is>
      </c>
      <c r="D3" s="3" t="inlineStr">
        <is>
          <t>路由归属</t>
        </is>
      </c>
      <c r="E3" s="3" t="inlineStr">
        <is>
          <t>说明</t>
        </is>
      </c>
    </row>
    <row r="4">
      <c r="A4" s="20" t="inlineStr">
        <is>
          <t>sex</t>
        </is>
      </c>
      <c r="B4" s="20" t="inlineStr">
        <is>
          <t>性别</t>
        </is>
      </c>
      <c r="C4" s="20" t="inlineStr">
        <is>
          <t>男 / 女 / 未知</t>
        </is>
      </c>
      <c r="D4" s="19" t="inlineStr">
        <is>
          <t>指南</t>
        </is>
      </c>
      <c r="E4" s="20" t="inlineStr">
        <is>
          <t>未知不得默认男；影响 55/50mm 阈值</t>
        </is>
      </c>
    </row>
    <row r="5">
      <c r="A5" s="20" t="inlineStr">
        <is>
          <t>temporal_status</t>
        </is>
      </c>
      <c r="B5" s="20" t="inlineStr">
        <is>
          <t>时态</t>
        </is>
      </c>
      <c r="C5" s="20" t="inlineStr">
        <is>
          <t>当前 / 既往 / 疑似</t>
        </is>
      </c>
      <c r="D5" s="19" t="inlineStr">
        <is>
          <t>急诊+复杂</t>
        </is>
      </c>
      <c r="E5" s="20" t="inlineStr">
        <is>
          <t>既往破裂不得当作当前破裂（T27）</t>
        </is>
      </c>
    </row>
    <row r="6">
      <c r="A6" s="20" t="inlineStr">
        <is>
          <t>diagnosis_certainty</t>
        </is>
      </c>
      <c r="B6" s="20" t="inlineStr">
        <is>
          <t>诊断确定性</t>
        </is>
      </c>
      <c r="C6" s="20" t="inlineStr">
        <is>
          <t>确诊 / 疑似 / 待排 / 未提及</t>
        </is>
      </c>
      <c r="D6" s="19" t="inlineStr">
        <is>
          <t>急诊+复杂</t>
        </is>
      </c>
      <c r="E6" s="20" t="inlineStr">
        <is>
          <t>疑似高危不得因未确诊延误</t>
        </is>
      </c>
    </row>
    <row r="7">
      <c r="A7" s="20" t="inlineStr">
        <is>
          <t>rupture_status</t>
        </is>
      </c>
      <c r="B7" s="20" t="inlineStr">
        <is>
          <t>破裂状态</t>
        </is>
      </c>
      <c r="C7" s="20" t="inlineStr">
        <is>
          <t>明确破裂 / 疑似破裂 / 未破裂 / 未提及</t>
        </is>
      </c>
      <c r="D7" s="19" t="inlineStr">
        <is>
          <t>急诊</t>
        </is>
      </c>
      <c r="E7" s="20" t="inlineStr">
        <is>
          <t>「排除破裂」归为未破裂</t>
        </is>
      </c>
    </row>
    <row r="8">
      <c r="A8" s="20" t="inlineStr">
        <is>
          <t>symptom_aaa_related</t>
        </is>
      </c>
      <c r="B8" s="20" t="inlineStr">
        <is>
          <t>AAA归因性症状</t>
        </is>
      </c>
      <c r="C8" s="20" t="inlineStr">
        <is>
          <t>有 / 无 / 未提及</t>
        </is>
      </c>
      <c r="D8" s="19" t="inlineStr">
        <is>
          <t>急诊</t>
        </is>
      </c>
      <c r="E8" s="20" t="inlineStr">
        <is>
          <t>需医生归因；否认腹痛不足以证明无症状</t>
        </is>
      </c>
    </row>
    <row r="9">
      <c r="A9" s="20" t="inlineStr">
        <is>
          <t>disease_category</t>
        </is>
      </c>
      <c r="B9" s="20" t="inlineStr">
        <is>
          <t>一级病种（list）</t>
        </is>
      </c>
      <c r="C9" s="20" t="inlineStr">
        <is>
          <t>1无症状AAA / 2症状性未破裂AAA / 3破裂或疑似破裂 / 4感染性主动脉病 / 5其他特殊 / 6髂动脉瘤 / 7术后状态及并发症</t>
        </is>
      </c>
      <c r="D9" s="19" t="inlineStr">
        <is>
          <t>全模式</t>
        </is>
      </c>
      <c r="E9" s="20" t="inlineStr">
        <is>
          <t>list 类型；O29 要求保留全部标签，不得只留一个</t>
        </is>
      </c>
    </row>
    <row r="10">
      <c r="A10" s="20" t="inlineStr">
        <is>
          <t>prior_repair</t>
        </is>
      </c>
      <c r="B10" s="20" t="inlineStr">
        <is>
          <t>既往修复史</t>
        </is>
      </c>
      <c r="C10" s="20" t="inlineStr">
        <is>
          <t>无 / EVAR / OSR / FEVAR / BEVAR / 其他</t>
        </is>
      </c>
      <c r="D10" s="19" t="inlineStr">
        <is>
          <t>复杂</t>
        </is>
      </c>
      <c r="E10" s="20" t="inlineStr">
        <is>
          <t>术后走术后路径，不套术前门槛</t>
        </is>
      </c>
    </row>
    <row r="11">
      <c r="A11" s="20" t="inlineStr">
        <is>
          <t>endoleak_type</t>
        </is>
      </c>
      <c r="B11" s="20" t="inlineStr">
        <is>
          <t>内漏类型</t>
        </is>
      </c>
      <c r="C11" s="20" t="inlineStr">
        <is>
          <t>无 / Ia / Ib / Ic / II / IIIa / IIIb / IV / 不明</t>
        </is>
      </c>
      <c r="D11" s="19" t="inlineStr">
        <is>
          <t>复杂</t>
        </is>
      </c>
      <c r="E11" s="20" t="inlineStr">
        <is>
          <t>Ⅰ/Ⅲ型高危；稳定Ⅱ型可指南</t>
        </is>
      </c>
    </row>
    <row r="12">
      <c r="A12" s="20" t="inlineStr">
        <is>
          <t>ckd_stage</t>
        </is>
      </c>
      <c r="B12" s="20" t="inlineStr">
        <is>
          <t>CKD分期</t>
        </is>
      </c>
      <c r="C12" s="20" t="inlineStr">
        <is>
          <t>无 / 1 / 2 / 3 / 4 / 5 / 未提及</t>
        </is>
      </c>
      <c r="D12" s="19" t="inlineStr">
        <is>
          <t>复杂</t>
        </is>
      </c>
      <c r="E12" s="20" t="inlineStr">
        <is>
          <t>≥3 触发复杂</t>
        </is>
      </c>
    </row>
    <row r="13">
      <c r="A13" s="20" t="inlineStr">
        <is>
          <t>heart_failure_nyha</t>
        </is>
      </c>
      <c r="B13" s="20" t="inlineStr">
        <is>
          <t>心衰分级</t>
        </is>
      </c>
      <c r="C13" s="20" t="inlineStr">
        <is>
          <t>无 / I / II / III / IV / 未提及</t>
        </is>
      </c>
      <c r="D13" s="19" t="inlineStr">
        <is>
          <t>复杂</t>
        </is>
      </c>
      <c r="E13" s="20" t="inlineStr">
        <is>
          <t>≥III 触发复杂</t>
        </is>
      </c>
    </row>
    <row r="14">
      <c r="A14" s="20" t="inlineStr">
        <is>
          <t>route_mode</t>
        </is>
      </c>
      <c r="B14" s="20" t="inlineStr">
        <is>
          <t>路由模式</t>
        </is>
      </c>
      <c r="C14" s="20" t="inlineStr">
        <is>
          <t>急诊模式 / 复杂模式 / 指南模式</t>
        </is>
      </c>
      <c r="D14" s="19" t="inlineStr">
        <is>
          <t>输出</t>
        </is>
      </c>
      <c r="E14" s="20" t="inlineStr">
        <is>
          <t>优先级 急诊&gt;复杂&gt;指南</t>
        </is>
      </c>
    </row>
    <row r="15">
      <c r="A15" s="20" t="inlineStr">
        <is>
          <t>confidence</t>
        </is>
      </c>
      <c r="B15" s="20" t="inlineStr">
        <is>
          <t>置信度</t>
        </is>
      </c>
      <c r="C15" s="20" t="inlineStr">
        <is>
          <t>0.00 ~ 1.00</t>
        </is>
      </c>
      <c r="D15" s="19" t="inlineStr">
        <is>
          <t>输出</t>
        </is>
      </c>
      <c r="E15" s="20" t="inlineStr">
        <is>
          <t>关键字段缺失时 ×0.5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6" customWidth="1" min="3" max="3"/>
  </cols>
  <sheetData>
    <row r="1">
      <c r="A1" s="1" t="inlineStr">
        <is>
          <t>设计说明 / 待确认事项</t>
        </is>
      </c>
    </row>
    <row r="3">
      <c r="A3" s="3" t="inlineStr">
        <is>
          <t>编号</t>
        </is>
      </c>
      <c r="B3" s="3" t="inlineStr">
        <is>
          <t>事项</t>
        </is>
      </c>
      <c r="C3" s="3" t="inlineStr">
        <is>
          <t>说明</t>
        </is>
      </c>
    </row>
    <row r="4">
      <c r="A4" s="20" t="inlineStr">
        <is>
          <t>1</t>
        </is>
      </c>
      <c r="B4" s="20" t="inlineStr">
        <is>
          <t>字段范围（已定）</t>
        </is>
      </c>
      <c r="C4" s="20" t="inlineStr">
        <is>
          <t>方案 A：仅覆盖 Router 判定 P1~P8 所需字段。解剖评分/影像量化的完整参数不在 VascCase，由后续 VascMeasurement 承载。</t>
        </is>
      </c>
    </row>
    <row r="5">
      <c r="A5" s="20" t="inlineStr">
        <is>
          <t>2</t>
        </is>
      </c>
      <c r="B5" s="20" t="inlineStr">
        <is>
          <t>urgency_flag（已定）</t>
        </is>
      </c>
      <c r="C5" s="20" t="inlineStr">
        <is>
          <t>保留为独立字段：临床授权显式置位，与自动判定（破裂/症状/休克）区分。</t>
        </is>
      </c>
    </row>
    <row r="6">
      <c r="A6" s="20" t="inlineStr">
        <is>
          <t>3</t>
        </is>
      </c>
      <c r="B6" s="20" t="inlineStr">
        <is>
          <t>两层字段设计</t>
        </is>
      </c>
      <c r="C6" s="20" t="inlineStr">
        <is>
          <t>事实层 = LLM 抽取（可缺失、不得推理）；判定层 = 确定性代码计算（布尔、可复现）。路由只读判定层，不读原文。</t>
        </is>
      </c>
    </row>
    <row r="7">
      <c r="A7" s="20" t="inlineStr">
        <is>
          <t>4</t>
        </is>
      </c>
      <c r="B7" s="20" t="inlineStr">
        <is>
          <t>路由归属列（V1.1 新增）</t>
        </is>
      </c>
      <c r="C7" s="20" t="inlineStr">
        <is>
          <t>按表1 对齐：每字段标明服务于 急诊/复杂/指南。多模式字段用「+」连接；非病种字段标为系统层/输出层。</t>
        </is>
      </c>
    </row>
    <row r="8">
      <c r="A8" s="20" t="inlineStr">
        <is>
          <t>5</t>
        </is>
      </c>
      <c r="B8" s="20" t="inlineStr">
        <is>
          <t>实现依据列（V1.1 保留）</t>
        </is>
      </c>
      <c r="C8" s="20" t="inlineStr">
        <is>
          <t>按表2 溯源：P1~P8 / O01~O29 / R001~R093，供工程实现时查具体 AND/NOT 条件与阈值。</t>
        </is>
      </c>
    </row>
    <row r="9">
      <c r="A9" s="20" t="inlineStr">
        <is>
          <t>6</t>
        </is>
      </c>
      <c r="B9" s="20" t="inlineStr">
        <is>
          <t>两表的分工</t>
        </is>
      </c>
      <c r="C9" s="20" t="inlineStr">
        <is>
          <t>表1 = 权威口径（路由目标与模式）；表2 = 实现源（阈值、AND/NOT、优先级）。二者不可互相替代。</t>
        </is>
      </c>
    </row>
    <row r="10">
      <c r="A10" s="20" t="inlineStr">
        <is>
          <t>7</t>
        </is>
      </c>
      <c r="B10" s="20" t="inlineStr">
        <is>
          <t>时态与否定</t>
        </is>
      </c>
      <c r="C10" s="20" t="inlineStr">
        <is>
          <t>O28 要求区分 当前/既往/肯定/否定/疑似，故 temporal_status、diagnosis_certainty 为独立字段，禁止靠 substring 判定。</t>
        </is>
      </c>
    </row>
    <row r="11">
      <c r="A11" s="20" t="inlineStr">
        <is>
          <t>8</t>
        </is>
      </c>
      <c r="B11" s="20" t="inlineStr">
        <is>
          <t>解剖字段的定位</t>
        </is>
      </c>
      <c r="C11" s="20" t="inlineStr">
        <is>
          <t>neck_length / neck_angle / access_diameter 等仅保留「浅层数值用于门控」；精密测量由 B 影像量化器产出后写回 VascMeasurement。</t>
        </is>
      </c>
    </row>
    <row r="12">
      <c r="A12" s="20" t="inlineStr">
        <is>
          <t>9</t>
        </is>
      </c>
      <c r="B12" s="20" t="inlineStr">
        <is>
          <t>已定：直径按部位分列</t>
        </is>
      </c>
      <c r="C12" s="20" t="inlineStr">
        <is>
          <t>max_diameter_mm（主动脉瘤，阈值 55/50mm）与 iliac_diameter_mm（髂动脉瘤，阈值 40mm）拆为两个独立字段，分别留痕。</t>
        </is>
      </c>
    </row>
    <row r="13">
      <c r="A13" s="20" t="inlineStr">
        <is>
          <t>10</t>
        </is>
      </c>
      <c r="B13" s="20" t="inlineStr">
        <is>
          <t>已定：多标签支持</t>
        </is>
      </c>
      <c r="C13" s="20" t="inlineStr">
        <is>
          <t>disease_category 为 list 类型，O29 要求保留全部病种标签，不得只留一个。</t>
        </is>
      </c>
    </row>
    <row r="14">
      <c r="A14" s="20" t="inlineStr">
        <is>
          <t>11</t>
        </is>
      </c>
      <c r="B14" s="20" t="inlineStr">
        <is>
          <t>已定：missing 判定边界</t>
        </is>
      </c>
      <c r="C14" s="20" t="inlineStr">
        <is>
          <t>按「必填=是」的 15 个字段集计算。</t>
        </is>
      </c>
    </row>
    <row r="15">
      <c r="A15" s="20" t="inlineStr">
        <is>
          <t>12</t>
        </is>
      </c>
      <c r="B15" s="20" t="inlineStr">
        <is>
          <t>待确认：missing 的字段类型过滤（建议）</t>
        </is>
      </c>
      <c r="C15" s="20" t="inlineStr">
        <is>
          <t>上述 15 个中，9 个为判定层（代码派生，必然存在，不可能缺失），仅 6 个事实层字段（sex/temporal_status/symptom_aaa_related/rupture_status/prior_repair + 病种识别）会真正缺失。**建议实际判定集 = 「必填=是 且 来源为 LLM 抽取」的 6 个字段**，否则判定层字段会空转。是否采纳？</t>
        </is>
      </c>
    </row>
    <row r="16">
      <c r="A16" s="20" t="inlineStr">
        <is>
          <t>13</t>
        </is>
      </c>
      <c r="B16" s="20" t="inlineStr">
        <is>
          <t>审计留痕列（V1.2 新增）</t>
        </is>
      </c>
      <c r="C16" s="20" t="inlineStr">
        <is>
          <t>逐字段标明「如何被还原」。规律：事实层记「原文出处 + 写入者（LLM/量化器/人工）+ 置信度」；判定层记「读入的事实快照 + 命中规则 + 规则版本」；输出层记「完整决策路径 + 被否决分支 + 输入哈希」。</t>
        </is>
      </c>
    </row>
    <row r="17">
      <c r="A17" s="20" t="inlineStr">
        <is>
          <t>14</t>
        </is>
      </c>
      <c r="B17" s="20" t="inlineStr">
        <is>
          <t>审计底座：LangGraph Checkpoint</t>
        </is>
      </c>
      <c r="C17" s="20" t="inlineStr">
        <is>
          <t>每执行一个节点即将 state 落盘（节点名/时间戳/输入哈希/输出哈希）。因判定层为纯代码，同一输入 + 同一规则版本必然复现同一结论。</t>
        </is>
      </c>
    </row>
    <row r="18">
      <c r="A18" s="20" t="inlineStr">
        <is>
          <t>15</t>
        </is>
      </c>
      <c r="B18" s="20" t="inlineStr">
        <is>
          <t>审计红线：禁止隐形 LLM</t>
        </is>
      </c>
      <c r="C18" s="20" t="inlineStr">
        <is>
          <t>判定层函数禁止引入任何 LLM 客户端；规则版本须显式命名（如 router-rules@v1.3）并随结论一并记录，否则审计链在规则变更处断裂。</t>
        </is>
      </c>
    </row>
    <row r="19">
      <c r="A19" s="20" t="inlineStr">
        <is>
          <t>16</t>
        </is>
      </c>
      <c r="B19" s="20" t="inlineStr">
        <is>
          <t>规则库整合（V2.0）</t>
        </is>
      </c>
      <c r="C19" s="20" t="inlineStr">
        <is>
          <t>原 1.xlsx / 2.xlsx 中真正参与路由的内容已整合为一张 Sheet「06_病种路由与覆盖规则」：上半部分病种总表（表1 26 条，含默认模式），下半部分覆盖规则库（O01~O29，按急诊/复杂/指南分组）。</t>
        </is>
      </c>
    </row>
    <row r="20">
      <c r="A20" s="20" t="inlineStr">
        <is>
          <t>17</t>
        </is>
      </c>
      <c r="B20" s="20" t="inlineStr">
        <is>
          <t>为什么不含病种规则 R001~R093</t>
        </is>
      </c>
      <c r="C20" s="20" t="inlineStr">
        <is>
          <t>R 规则含「男性 AND 无症状 AND 直径≥55mm」这类诊断/适应证条件，属路由完成后的诊断阶段，不参与本 Agent 的路由判定。</t>
        </is>
      </c>
    </row>
    <row r="21">
      <c r="A21" s="20" t="inlineStr">
        <is>
          <t>18</t>
        </is>
      </c>
      <c r="B21" s="20" t="inlineStr">
        <is>
          <t>为什么不含关键词词典/测试用例</t>
        </is>
      </c>
      <c r="C21" s="20" t="inlineStr">
        <is>
          <t>关键词词典的价值已被结构化字段吸收；测试用例属开发期验证资产，将来在 tests/ 单独维护，不属设计表。</t>
        </is>
      </c>
    </row>
    <row r="22">
      <c r="A22" s="20" t="inlineStr">
        <is>
          <t>19</t>
        </is>
      </c>
      <c r="B22" s="20" t="inlineStr">
        <is>
          <t>原文件定位</t>
        </is>
      </c>
      <c r="C22" s="20" t="inlineStr">
        <is>
          <t>1.xlsx（表1）与 2.xlsx（表2）保留为权威源，本表为整合视图；表2 迭代时应重新运行整合脚本刷新。</t>
        </is>
      </c>
    </row>
    <row r="23">
      <c r="A23" s="20" t="inlineStr">
        <is>
          <t>20</t>
        </is>
      </c>
      <c r="B23" s="20" t="inlineStr">
        <is>
          <t>待确认：规则版本号规范</t>
        </is>
      </c>
      <c r="C23" s="20" t="inlineStr">
        <is>
          <t>「规则版本」在留痕中反复出现但尚未定义落地方式。建议：以 (表1 版本号 + 表2 版本号) 组成复合版本串，随每条路由结论落盘。是否采纳？</t>
        </is>
      </c>
    </row>
    <row r="24">
      <c r="A24" s="20" t="inlineStr">
        <is>
          <t>21</t>
        </is>
      </c>
      <c r="B24" s="20" t="inlineStr">
        <is>
          <t>后续</t>
        </is>
      </c>
      <c r="C24" s="20" t="inlineStr">
        <is>
          <t>字段确认后，据此编写 src/models/preop.py 的 Pydantic 模型（含校验规则与派生逻辑）。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2" customWidth="1" min="4" max="4"/>
    <col width="30" customWidth="1" min="5" max="5"/>
    <col width="40" customWidth="1" min="6" max="6"/>
    <col width="44" customWidth="1" min="7" max="7"/>
    <col width="8" customWidth="1" min="8" max="8"/>
  </cols>
  <sheetData>
    <row r="1">
      <c r="A1" s="1" t="inlineStr">
        <is>
          <t>路由决策流水线 —— 表1（病种）× 表2（覆盖规则）合并视图</t>
        </is>
      </c>
    </row>
    <row r="2">
      <c r="A2" s="2" t="inlineStr">
        <is>
          <t>按真实执行顺序排列：先语义预处理（P0），再 急诊(P1) &gt; 复杂(P2~P6) &gt; 指南(P7~P8)。每行即一个判定步骤，命中即短路返回。</t>
        </is>
      </c>
    </row>
    <row r="4">
      <c r="A4" s="24" t="inlineStr">
        <is>
          <t>路由判定流水线（自上而下执行，命中即返回；上表即算法主循环）</t>
        </is>
      </c>
      <c r="B4" s="39" t="n"/>
      <c r="C4" s="39" t="n"/>
      <c r="D4" s="39" t="n"/>
      <c r="E4" s="39" t="n"/>
      <c r="F4" s="39" t="n"/>
      <c r="G4" s="39" t="n"/>
      <c r="H4" s="40" t="n"/>
    </row>
    <row r="5">
      <c r="A5" s="3" t="inlineStr">
        <is>
          <t>判定顺序</t>
        </is>
      </c>
      <c r="B5" s="3" t="inlineStr">
        <is>
          <t>判定条件</t>
        </is>
      </c>
      <c r="C5" s="3" t="inlineStr">
        <is>
          <t>依据规则(O)</t>
        </is>
      </c>
      <c r="D5" s="3" t="inlineStr">
        <is>
          <t>命中后路由</t>
        </is>
      </c>
      <c r="E5" s="3" t="inlineStr">
        <is>
          <t>涉及病种(表1)</t>
        </is>
      </c>
      <c r="F5" s="3" t="inlineStr">
        <is>
          <t>关键词线索</t>
        </is>
      </c>
      <c r="G5" s="3" t="inlineStr">
        <is>
          <t>命中后动作</t>
        </is>
      </c>
      <c r="H5" s="3" t="inlineStr">
        <is>
          <t>模式</t>
        </is>
      </c>
    </row>
    <row r="6">
      <c r="A6" s="26" t="inlineStr">
        <is>
          <t>P0a</t>
        </is>
      </c>
      <c r="B6" s="27" t="inlineStr">
        <is>
          <t>语义预处理：否定 / 时态 / 归因 / 疑似</t>
        </is>
      </c>
      <c r="C6" s="26" t="inlineStr">
        <is>
          <t>O28</t>
        </is>
      </c>
      <c r="D6" s="26" t="inlineStr">
        <is>
          <t>前置处理</t>
        </is>
      </c>
      <c r="E6" s="27" t="inlineStr">
        <is>
          <t>全部病种</t>
        </is>
      </c>
      <c r="F6" s="27" t="inlineStr">
        <is>
          <t>未破裂|排除破裂|既往破裂|未见内漏|疑似破裂</t>
        </is>
      </c>
      <c r="G6" s="27" t="inlineStr">
        <is>
          <t>先做事件时态与肯定/否定区分；疑似高危急症不得因未确诊而延误</t>
        </is>
      </c>
      <c r="H6" s="26" t="inlineStr">
        <is>
          <t>前置</t>
        </is>
      </c>
    </row>
    <row r="7">
      <c r="A7" s="26" t="inlineStr">
        <is>
          <t>P0b</t>
        </is>
      </c>
      <c r="B7" s="27" t="inlineStr">
        <is>
          <t>多标签处理：单一模式输出</t>
        </is>
      </c>
      <c r="C7" s="26" t="inlineStr">
        <is>
          <t>O29</t>
        </is>
      </c>
      <c r="D7" s="26" t="inlineStr">
        <is>
          <t>前置处理</t>
        </is>
      </c>
      <c r="E7" s="27" t="inlineStr">
        <is>
          <t>全部病种</t>
        </is>
      </c>
      <c r="F7" s="27" t="inlineStr">
        <is>
          <t>术后+破裂|感染+破裂|AAA+髂动脉瘤</t>
        </is>
      </c>
      <c r="G7" s="27" t="inlineStr">
        <is>
          <t>保留全部病种/病因/解剖/术后标签，但主模式优先级 急诊&gt;复杂&gt;指南</t>
        </is>
      </c>
      <c r="H7" s="26" t="inlineStr">
        <is>
          <t>前置</t>
        </is>
      </c>
    </row>
    <row r="8">
      <c r="A8" s="28" t="inlineStr">
        <is>
          <t>P1</t>
        </is>
      </c>
      <c r="B8" s="29" t="inlineStr">
        <is>
          <t>是否存在急诊触发？</t>
        </is>
      </c>
      <c r="C8" s="28" t="inlineStr">
        <is>
          <t>O01~O10</t>
        </is>
      </c>
      <c r="D8" s="28" t="inlineStr">
        <is>
          <t>急诊模式</t>
        </is>
      </c>
      <c r="E8" s="29" t="inlineStr">
        <is>
          <t>S02, R01, R02, M07, L03, P06 + 全部病种的急症子类</t>
        </is>
      </c>
      <c r="F8" s="29" t="inlineStr">
        <is>
          <t>破裂|疑似破裂|症状性|休克|活动性出血|急性缺血|灌注障碍|脓毒症|urgency_flag</t>
        </is>
      </c>
      <c r="G8" s="29" t="inlineStr">
        <is>
          <t>启动急诊应急预案（不预置择期工具）；不等待复杂性判断</t>
        </is>
      </c>
      <c r="H8" s="28" t="inlineStr">
        <is>
          <t>急诊</t>
        </is>
      </c>
    </row>
    <row r="9">
      <c r="A9" s="30" t="inlineStr">
        <is>
          <t>P2</t>
        </is>
      </c>
      <c r="B9" s="31" t="inlineStr">
        <is>
          <t>是否存在特殊主动脉病种或复杂病变？</t>
        </is>
      </c>
      <c r="C9" s="30" t="inlineStr">
        <is>
          <t>O21</t>
        </is>
      </c>
      <c r="D9" s="30" t="inlineStr">
        <is>
          <t>复杂模式</t>
        </is>
      </c>
      <c r="E9" s="31" t="inlineStr">
        <is>
          <t>I01, I02, M01~M09, L02</t>
        </is>
      </c>
      <c r="F9" s="31" t="inlineStr">
        <is>
          <t>感染性|炎症性|囊状|PAU|IMH|IAAD|假性动脉瘤|遗传/结缔组织病|恶性肿瘤</t>
        </is>
      </c>
      <c r="G9" s="31" t="inlineStr">
        <is>
          <t>调用 A指南＋B影像＋C评分＋D记忆＋E风险（全5工具）</t>
        </is>
      </c>
      <c r="H9" s="30" t="inlineStr">
        <is>
          <t>复杂</t>
        </is>
      </c>
    </row>
    <row r="10">
      <c r="A10" s="30" t="inlineStr">
        <is>
          <t>P3</t>
        </is>
      </c>
      <c r="B10" s="31" t="inlineStr">
        <is>
          <t>是否复杂解剖 / 复杂手术 / 异常术后？</t>
        </is>
      </c>
      <c r="C10" s="30" t="inlineStr">
        <is>
          <t>O15~O20, O22, O23</t>
        </is>
      </c>
      <c r="D10" s="30" t="inlineStr">
        <is>
          <t>复杂模式</t>
        </is>
      </c>
      <c r="E10" s="31" t="inlineStr">
        <is>
          <t>L02, P03, P04, P05, P06 + 近肾/旁肾子类</t>
        </is>
      </c>
      <c r="F10" s="31" t="inlineStr">
        <is>
          <t>颈长&lt;15mm|成角&gt;45°|入路&lt;7mm|近肾/旁肾/近内脏|FEVAR/BEVAR|I/III型内漏|瘤囊增大</t>
        </is>
      </c>
      <c r="G10" s="31" t="inlineStr">
        <is>
          <t>调用全5工具；进入复杂评估而非直接判无法EVAR</t>
        </is>
      </c>
      <c r="H10" s="30" t="inlineStr">
        <is>
          <t>复杂</t>
        </is>
      </c>
    </row>
    <row r="11">
      <c r="A11" s="30" t="inlineStr">
        <is>
          <t>P4</t>
        </is>
      </c>
      <c r="B11" s="31" t="inlineStr">
        <is>
          <t>是否存在严重合并症？</t>
        </is>
      </c>
      <c r="C11" s="30" t="inlineStr">
        <is>
          <t>O11~O14</t>
        </is>
      </c>
      <c r="D11" s="30" t="inlineStr">
        <is>
          <t>复杂模式</t>
        </is>
      </c>
      <c r="E11" s="31" t="inlineStr">
        <is>
          <t>全部病种（叠加标签）</t>
        </is>
      </c>
      <c r="F11" s="31" t="inlineStr">
        <is>
          <t>NYHA≥III|COPD|CKD≥3|冠心病CAD</t>
        </is>
      </c>
      <c r="G11" s="31" t="inlineStr">
        <is>
          <t>复杂风险评估；作为叠加标签，不改变病种归属</t>
        </is>
      </c>
      <c r="H11" s="30" t="inlineStr">
        <is>
          <t>复杂</t>
        </is>
      </c>
    </row>
    <row r="12">
      <c r="A12" s="30" t="inlineStr">
        <is>
          <t>P5</t>
        </is>
      </c>
      <c r="B12" s="31" t="inlineStr">
        <is>
          <t>指南与影像证据是否冲突？</t>
        </is>
      </c>
      <c r="C12" s="30" t="inlineStr">
        <is>
          <t>O24</t>
        </is>
      </c>
      <c r="D12" s="30" t="inlineStr">
        <is>
          <t>复杂模式 + 人工复核</t>
        </is>
      </c>
      <c r="E12" s="31" t="inlineStr">
        <is>
          <t>全部病种（叠加标签）</t>
        </is>
      </c>
      <c r="F12" s="31" t="inlineStr">
        <is>
          <t>指南与影像矛盾|证据冲突</t>
        </is>
      </c>
      <c r="G12" s="31" t="inlineStr">
        <is>
          <t>调用全5工具 + 人工复核</t>
        </is>
      </c>
      <c r="H12" s="30" t="inlineStr">
        <is>
          <t>复杂</t>
        </is>
      </c>
    </row>
    <row r="13">
      <c r="A13" s="30" t="inlineStr">
        <is>
          <t>P6</t>
        </is>
      </c>
      <c r="B13" s="31" t="inlineStr">
        <is>
          <t>决策关键字段是否缺失 / 病种无法识别？</t>
        </is>
      </c>
      <c r="C13" s="30" t="inlineStr">
        <is>
          <t>O25</t>
        </is>
      </c>
      <c r="D13" s="30" t="inlineStr">
        <is>
          <t>复杂模式（confidence×0.5）</t>
        </is>
      </c>
      <c r="E13" s="31" t="inlineStr">
        <is>
          <t>全部病种（兜底）</t>
        </is>
      </c>
      <c r="F13" s="31" t="inlineStr">
        <is>
          <t>未分型|关键数据缺失|unclassified aortic lesion</t>
        </is>
      </c>
      <c r="G13" s="31" t="inlineStr">
        <is>
          <t>默认复杂 + 置信度×0.5 + 人工复核；不得将「不明」默认「稳定」</t>
        </is>
      </c>
      <c r="H13" s="30" t="inlineStr">
        <is>
          <t>复杂</t>
        </is>
      </c>
    </row>
    <row r="14">
      <c r="A14" s="32" t="inlineStr">
        <is>
          <t>P7</t>
        </is>
      </c>
      <c r="B14" s="33" t="inlineStr">
        <is>
          <t>是否属于低复杂度常规指南场景？</t>
        </is>
      </c>
      <c r="C14" s="32" t="inlineStr">
        <is>
          <t>O26</t>
        </is>
      </c>
      <c r="D14" s="32" t="inlineStr">
        <is>
          <t>指南模式</t>
        </is>
      </c>
      <c r="E14" s="33" t="inlineStr">
        <is>
          <t>A01, A02, L01, P01, P02</t>
        </is>
      </c>
      <c r="F14" s="33" t="inlineStr">
        <is>
          <t>小型无症状AAA|达到修复评估阈值|孤立性髂总动脉瘤|术后常规随访</t>
        </is>
      </c>
      <c r="G14" s="33" t="inlineStr">
        <is>
          <t>调用 B影像量化器＋A指南引擎；不是只凭直径阈值</t>
        </is>
      </c>
      <c r="H14" s="32" t="inlineStr">
        <is>
          <t>指南</t>
        </is>
      </c>
    </row>
    <row r="15">
      <c r="A15" s="32" t="inlineStr">
        <is>
          <t>P8</t>
        </is>
      </c>
      <c r="B15" s="33" t="inlineStr">
        <is>
          <t>全部适用前置条件是否已核实？</t>
        </is>
      </c>
      <c r="C15" s="32" t="inlineStr">
        <is>
          <t>O26, O27</t>
        </is>
      </c>
      <c r="D15" s="32" t="inlineStr">
        <is>
          <t>指南模式</t>
        </is>
      </c>
      <c r="E15" s="33" t="inlineStr">
        <is>
          <t>A01, A02, L01, P01, P02 + 稳定术后随访</t>
        </is>
      </c>
      <c r="F15" s="33" t="inlineStr">
        <is>
          <t>急/复杂已排除|资料齐全|适用IFU或术后指南条件|稳定II型内漏</t>
        </is>
      </c>
      <c r="G15" s="33" t="inlineStr">
        <is>
          <t>输出最终 mode=指南；保留正常置信度；医学判断仍需人工审核</t>
        </is>
      </c>
      <c r="H15" s="32" t="inlineStr">
        <is>
          <t>指南</t>
        </is>
      </c>
    </row>
    <row r="17">
      <c r="A17" s="24" t="inlineStr">
        <is>
          <t>附：表1 病种索引（26 条 · 默认模式对照）</t>
        </is>
      </c>
      <c r="B17" s="39" t="n"/>
      <c r="C17" s="39" t="n"/>
      <c r="D17" s="39" t="n"/>
      <c r="E17" s="39" t="n"/>
      <c r="F17" s="39" t="n"/>
      <c r="G17" s="39" t="n"/>
      <c r="H17" s="40" t="n"/>
    </row>
    <row r="18">
      <c r="A18" s="3" t="inlineStr">
        <is>
          <t>路由ID</t>
        </is>
      </c>
      <c r="B18" s="3" t="inlineStr">
        <is>
          <t>一级疾病类别</t>
        </is>
      </c>
      <c r="C18" s="3" t="inlineStr">
        <is>
          <t>二级基础类型</t>
        </is>
      </c>
      <c r="D18" s="3" t="inlineStr">
        <is>
          <t>候选识别词</t>
        </is>
      </c>
      <c r="E18" s="3" t="inlineStr">
        <is>
          <t>默认路由模式</t>
        </is>
      </c>
      <c r="F18" s="3" t="inlineStr">
        <is>
          <t>调用工具/动作</t>
        </is>
      </c>
      <c r="G18" s="3" t="inlineStr">
        <is>
          <t>覆盖后可能变为</t>
        </is>
      </c>
      <c r="H18" s="3" t="inlineStr">
        <is>
          <t>模式</t>
        </is>
      </c>
    </row>
    <row r="19">
      <c r="A19" s="32" t="inlineStr">
        <is>
          <t>A01</t>
        </is>
      </c>
      <c r="B19" s="33" t="inlineStr">
        <is>
          <t>1 无症状AAA</t>
        </is>
      </c>
      <c r="C19" s="33" t="inlineStr">
        <is>
          <t>小型／未达修复评估标准</t>
        </is>
      </c>
      <c r="D19" s="33" t="inlineStr">
        <is>
          <t>无症状AAA；小型腹主动脉瘤；随访</t>
        </is>
      </c>
      <c r="E19" s="33" t="inlineStr">
        <is>
          <t>指南模式</t>
        </is>
      </c>
      <c r="F19" s="33" t="inlineStr">
        <is>
          <t>B 影像量化器＋A 指南引擎</t>
        </is>
      </c>
      <c r="G19" s="33" t="inlineStr">
        <is>
          <t>急诊 / 复杂（若触发 P1~P6）</t>
        </is>
      </c>
      <c r="H19" s="32" t="inlineStr">
        <is>
          <t>指南</t>
        </is>
      </c>
    </row>
    <row r="20">
      <c r="A20" s="32" t="inlineStr">
        <is>
          <t>A02</t>
        </is>
      </c>
      <c r="B20" s="33" t="inlineStr">
        <is>
          <t>1 无症状AAA</t>
        </is>
      </c>
      <c r="C20" s="33" t="inlineStr">
        <is>
          <t>较大／进入修复评估</t>
        </is>
      </c>
      <c r="D20" s="33" t="inlineStr">
        <is>
          <t>无症状AAA；大型AAA；择期修复评估</t>
        </is>
      </c>
      <c r="E20" s="33" t="inlineStr">
        <is>
          <t>指南模式</t>
        </is>
      </c>
      <c r="F20" s="33" t="inlineStr">
        <is>
          <t>B 影像量化器＋A 指南引擎</t>
        </is>
      </c>
      <c r="G20" s="33" t="inlineStr">
        <is>
          <t>急诊 / 复杂（若触发 P1~P6）</t>
        </is>
      </c>
      <c r="H20" s="32" t="inlineStr">
        <is>
          <t>指南</t>
        </is>
      </c>
    </row>
    <row r="21">
      <c r="A21" s="30" t="inlineStr">
        <is>
          <t>S01</t>
        </is>
      </c>
      <c r="B21" s="31" t="inlineStr">
        <is>
          <t>2 症状性未破裂AAA</t>
        </is>
      </c>
      <c r="C21" s="31" t="inlineStr">
        <is>
          <t>相对稳定的症状性AAA</t>
        </is>
      </c>
      <c r="D21" s="31" t="inlineStr">
        <is>
          <t>症状性AAA；未破裂；症状相对稳定</t>
        </is>
      </c>
      <c r="E21" s="31" t="inlineStr">
        <is>
          <t>复杂模式</t>
        </is>
      </c>
      <c r="F21" s="31" t="inlineStr">
        <is>
          <t>A 指南＋B 影像＋C 评分＋D 记忆＋E 风险</t>
        </is>
      </c>
      <c r="G21" s="31" t="inlineStr">
        <is>
          <t>急诊（若触发 P1）</t>
        </is>
      </c>
      <c r="H21" s="30" t="inlineStr">
        <is>
          <t>复杂</t>
        </is>
      </c>
    </row>
    <row r="22">
      <c r="A22" s="28" t="inlineStr">
        <is>
          <t>S02</t>
        </is>
      </c>
      <c r="B22" s="29" t="inlineStr">
        <is>
          <t>2 症状性未破裂AAA</t>
        </is>
      </c>
      <c r="C22" s="29" t="inlineStr">
        <is>
          <t>急性恶化的症状性AAA</t>
        </is>
      </c>
      <c r="D22" s="29" t="inlineStr">
        <is>
          <t>症状性AAA；急性症状；病情恶化</t>
        </is>
      </c>
      <c r="E22" s="29" t="inlineStr">
        <is>
          <t>急诊模式</t>
        </is>
      </c>
      <c r="F22" s="29" t="inlineStr">
        <is>
          <t>启动急诊应急预案（不预置择期工具）</t>
        </is>
      </c>
      <c r="G22" s="29" t="inlineStr">
        <is>
          <t>—（已是最高优先级）</t>
        </is>
      </c>
      <c r="H22" s="28" t="inlineStr">
        <is>
          <t>急诊</t>
        </is>
      </c>
    </row>
    <row r="23">
      <c r="A23" s="28" t="inlineStr">
        <is>
          <t>R01</t>
        </is>
      </c>
      <c r="B23" s="29" t="inlineStr">
        <is>
          <t>3 破裂／疑似破裂AAA</t>
        </is>
      </c>
      <c r="C23" s="29" t="inlineStr">
        <is>
          <t>疑似破裂</t>
        </is>
      </c>
      <c r="D23" s="29" t="inlineStr">
        <is>
          <t>疑似AAA破裂；怀疑破裂；suspected rAAA</t>
        </is>
      </c>
      <c r="E23" s="29" t="inlineStr">
        <is>
          <t>急诊模式</t>
        </is>
      </c>
      <c r="F23" s="29" t="inlineStr">
        <is>
          <t>启动急诊应急预案（不预置择期工具）</t>
        </is>
      </c>
      <c r="G23" s="29" t="inlineStr">
        <is>
          <t>—（已是最高优先级）</t>
        </is>
      </c>
      <c r="H23" s="28" t="inlineStr">
        <is>
          <t>急诊</t>
        </is>
      </c>
    </row>
    <row r="24">
      <c r="A24" s="28" t="inlineStr">
        <is>
          <t>R02</t>
        </is>
      </c>
      <c r="B24" s="29" t="inlineStr">
        <is>
          <t>3 破裂／疑似破裂AAA</t>
        </is>
      </c>
      <c r="C24" s="29" t="inlineStr">
        <is>
          <t>明确破裂</t>
        </is>
      </c>
      <c r="D24" s="29" t="inlineStr">
        <is>
          <t>破裂AAA；包裹性破裂；自由破裂；rAAA</t>
        </is>
      </c>
      <c r="E24" s="29" t="inlineStr">
        <is>
          <t>急诊模式</t>
        </is>
      </c>
      <c r="F24" s="29" t="inlineStr">
        <is>
          <t>启动急诊应急预案（不预置择期工具）</t>
        </is>
      </c>
      <c r="G24" s="29" t="inlineStr">
        <is>
          <t>—（已是最高优先级）</t>
        </is>
      </c>
      <c r="H24" s="28" t="inlineStr">
        <is>
          <t>急诊</t>
        </is>
      </c>
    </row>
    <row r="25">
      <c r="A25" s="30" t="inlineStr">
        <is>
          <t>I01</t>
        </is>
      </c>
      <c r="B25" s="31" t="inlineStr">
        <is>
          <t>4 感染性主动脉疾病</t>
        </is>
      </c>
      <c r="C25" s="31" t="inlineStr">
        <is>
          <t>原生主动脉感染</t>
        </is>
      </c>
      <c r="D25" s="31" t="inlineStr">
        <is>
          <t>感染性AAA；原生动脉感染；mycotic AAA</t>
        </is>
      </c>
      <c r="E25" s="31" t="inlineStr">
        <is>
          <t>复杂模式</t>
        </is>
      </c>
      <c r="F25" s="31" t="inlineStr">
        <is>
          <t>A 指南＋B 影像＋C 评分＋D 记忆＋E 风险</t>
        </is>
      </c>
      <c r="G25" s="31" t="inlineStr">
        <is>
          <t>急诊（若触发 P1）</t>
        </is>
      </c>
      <c r="H25" s="30" t="inlineStr">
        <is>
          <t>复杂</t>
        </is>
      </c>
    </row>
    <row r="26">
      <c r="A26" s="30" t="inlineStr">
        <is>
          <t>I02</t>
        </is>
      </c>
      <c r="B26" s="31" t="inlineStr">
        <is>
          <t>4 感染性主动脉疾病</t>
        </is>
      </c>
      <c r="C26" s="31" t="inlineStr">
        <is>
          <t>术后移植物感染</t>
        </is>
      </c>
      <c r="D26" s="31" t="inlineStr">
        <is>
          <t>主动脉人工血管感染；支架移植物感染；graft infection</t>
        </is>
      </c>
      <c r="E26" s="31" t="inlineStr">
        <is>
          <t>复杂模式</t>
        </is>
      </c>
      <c r="F26" s="31" t="inlineStr">
        <is>
          <t>A 指南＋B 影像＋C 评分＋D 记忆＋E 风险</t>
        </is>
      </c>
      <c r="G26" s="31" t="inlineStr">
        <is>
          <t>急诊（若触发 P1）</t>
        </is>
      </c>
      <c r="H26" s="30" t="inlineStr">
        <is>
          <t>复杂</t>
        </is>
      </c>
    </row>
    <row r="27">
      <c r="A27" s="30" t="inlineStr">
        <is>
          <t>M01</t>
        </is>
      </c>
      <c r="B27" s="31" t="inlineStr">
        <is>
          <t>5 其他特殊主动脉疾病</t>
        </is>
      </c>
      <c r="C27" s="31" t="inlineStr">
        <is>
          <t>炎症性AAA</t>
        </is>
      </c>
      <c r="D27" s="31" t="inlineStr">
        <is>
          <t>炎症性腹主动脉瘤；inflammatory AAA</t>
        </is>
      </c>
      <c r="E27" s="31" t="inlineStr">
        <is>
          <t>复杂模式</t>
        </is>
      </c>
      <c r="F27" s="31" t="inlineStr">
        <is>
          <t>A 指南＋B 影像＋C 评分＋D 记忆＋E 风险</t>
        </is>
      </c>
      <c r="G27" s="31" t="inlineStr">
        <is>
          <t>急诊（若触发 P1）</t>
        </is>
      </c>
      <c r="H27" s="30" t="inlineStr">
        <is>
          <t>复杂</t>
        </is>
      </c>
    </row>
    <row r="28">
      <c r="A28" s="30" t="inlineStr">
        <is>
          <t>M02</t>
        </is>
      </c>
      <c r="B28" s="31" t="inlineStr">
        <is>
          <t>5 其他特殊主动脉疾病</t>
        </is>
      </c>
      <c r="C28" s="31" t="inlineStr">
        <is>
          <t>囊状AAA</t>
        </is>
      </c>
      <c r="D28" s="31" t="inlineStr">
        <is>
          <t>囊状腹主动脉瘤；saccular AAA</t>
        </is>
      </c>
      <c r="E28" s="31" t="inlineStr">
        <is>
          <t>复杂模式</t>
        </is>
      </c>
      <c r="F28" s="31" t="inlineStr">
        <is>
          <t>A 指南＋B 影像＋C 评分＋D 记忆＋E 风险</t>
        </is>
      </c>
      <c r="G28" s="31" t="inlineStr">
        <is>
          <t>急诊（若触发 P1）</t>
        </is>
      </c>
      <c r="H28" s="30" t="inlineStr">
        <is>
          <t>复杂</t>
        </is>
      </c>
    </row>
    <row r="29">
      <c r="A29" s="30" t="inlineStr">
        <is>
          <t>M03</t>
        </is>
      </c>
      <c r="B29" s="31" t="inlineStr">
        <is>
          <t>5 其他特殊主动脉疾病</t>
        </is>
      </c>
      <c r="C29" s="31" t="inlineStr">
        <is>
          <t>腹主动脉假性动脉瘤</t>
        </is>
      </c>
      <c r="D29" s="31" t="inlineStr">
        <is>
          <t>腹主动脉假性动脉瘤；aortic pseudoaneurysm</t>
        </is>
      </c>
      <c r="E29" s="31" t="inlineStr">
        <is>
          <t>复杂模式</t>
        </is>
      </c>
      <c r="F29" s="31" t="inlineStr">
        <is>
          <t>A 指南＋B 影像＋C 评分＋D 记忆＋E 风险</t>
        </is>
      </c>
      <c r="G29" s="31" t="inlineStr">
        <is>
          <t>急诊（若触发 P1）</t>
        </is>
      </c>
      <c r="H29" s="30" t="inlineStr">
        <is>
          <t>复杂</t>
        </is>
      </c>
    </row>
    <row r="30">
      <c r="A30" s="30" t="inlineStr">
        <is>
          <t>M04</t>
        </is>
      </c>
      <c r="B30" s="31" t="inlineStr">
        <is>
          <t>5 其他特殊主动脉疾病</t>
        </is>
      </c>
      <c r="C30" s="31" t="inlineStr">
        <is>
          <t>腹主动脉穿透性溃疡</t>
        </is>
      </c>
      <c r="D30" s="31" t="inlineStr">
        <is>
          <t>穿透性主动脉溃疡；PAU</t>
        </is>
      </c>
      <c r="E30" s="31" t="inlineStr">
        <is>
          <t>复杂模式</t>
        </is>
      </c>
      <c r="F30" s="31" t="inlineStr">
        <is>
          <t>A 指南＋B 影像＋C 评分＋D 记忆＋E 风险</t>
        </is>
      </c>
      <c r="G30" s="31" t="inlineStr">
        <is>
          <t>急诊（若触发 P1）</t>
        </is>
      </c>
      <c r="H30" s="30" t="inlineStr">
        <is>
          <t>复杂</t>
        </is>
      </c>
    </row>
    <row r="31">
      <c r="A31" s="30" t="inlineStr">
        <is>
          <t>M05</t>
        </is>
      </c>
      <c r="B31" s="31" t="inlineStr">
        <is>
          <t>5 其他特殊主动脉疾病</t>
        </is>
      </c>
      <c r="C31" s="31" t="inlineStr">
        <is>
          <t>腹主动脉壁内血肿</t>
        </is>
      </c>
      <c r="D31" s="31" t="inlineStr">
        <is>
          <t>腹主动脉壁内血肿；IMH</t>
        </is>
      </c>
      <c r="E31" s="31" t="inlineStr">
        <is>
          <t>复杂模式</t>
        </is>
      </c>
      <c r="F31" s="31" t="inlineStr">
        <is>
          <t>A 指南＋B 影像＋C 评分＋D 记忆＋E 风险</t>
        </is>
      </c>
      <c r="G31" s="31" t="inlineStr">
        <is>
          <t>急诊（若触发 P1）</t>
        </is>
      </c>
      <c r="H31" s="30" t="inlineStr">
        <is>
          <t>复杂</t>
        </is>
      </c>
    </row>
    <row r="32">
      <c r="A32" s="30" t="inlineStr">
        <is>
          <t>M06</t>
        </is>
      </c>
      <c r="B32" s="31" t="inlineStr">
        <is>
          <t>5 其他特殊主动脉疾病</t>
        </is>
      </c>
      <c r="C32" s="31" t="inlineStr">
        <is>
          <t>腹主动脉孤立性夹层</t>
        </is>
      </c>
      <c r="D32" s="31" t="inlineStr">
        <is>
          <t>孤立性腹主动脉夹层；IAAD</t>
        </is>
      </c>
      <c r="E32" s="31" t="inlineStr">
        <is>
          <t>复杂模式</t>
        </is>
      </c>
      <c r="F32" s="31" t="inlineStr">
        <is>
          <t>A 指南＋B 影像＋C 评分＋D 记忆＋E 风险</t>
        </is>
      </c>
      <c r="G32" s="31" t="inlineStr">
        <is>
          <t>急诊（若触发 P1）</t>
        </is>
      </c>
      <c r="H32" s="30" t="inlineStr">
        <is>
          <t>复杂</t>
        </is>
      </c>
    </row>
    <row r="33">
      <c r="A33" s="28" t="inlineStr">
        <is>
          <t>M07</t>
        </is>
      </c>
      <c r="B33" s="29" t="inlineStr">
        <is>
          <t>5 其他特殊主动脉疾病</t>
        </is>
      </c>
      <c r="C33" s="29" t="inlineStr">
        <is>
          <t>原发性主动脉-肠瘘</t>
        </is>
      </c>
      <c r="D33" s="29" t="inlineStr">
        <is>
          <t>原发性主动脉肠瘘；primary aortoenteric fistula</t>
        </is>
      </c>
      <c r="E33" s="29" t="inlineStr">
        <is>
          <t>急诊模式</t>
        </is>
      </c>
      <c r="F33" s="29" t="inlineStr">
        <is>
          <t>启动急诊应急预案（不预置择期工具）</t>
        </is>
      </c>
      <c r="G33" s="29" t="inlineStr">
        <is>
          <t>—（已是最高优先级）</t>
        </is>
      </c>
      <c r="H33" s="28" t="inlineStr">
        <is>
          <t>急诊</t>
        </is>
      </c>
    </row>
    <row r="34">
      <c r="A34" s="30" t="inlineStr">
        <is>
          <t>M08</t>
        </is>
      </c>
      <c r="B34" s="31" t="inlineStr">
        <is>
          <t>5 其他特殊主动脉疾病</t>
        </is>
      </c>
      <c r="C34" s="31" t="inlineStr">
        <is>
          <t>主动脉-腔静脉瘘</t>
        </is>
      </c>
      <c r="D34" s="31" t="inlineStr">
        <is>
          <t>主动脉下腔静脉瘘；aortocaval fistula</t>
        </is>
      </c>
      <c r="E34" s="31" t="inlineStr">
        <is>
          <t>复杂模式</t>
        </is>
      </c>
      <c r="F34" s="31" t="inlineStr">
        <is>
          <t>A 指南＋B 影像＋C 评分＋D 记忆＋E 风险</t>
        </is>
      </c>
      <c r="G34" s="31" t="inlineStr">
        <is>
          <t>急诊（若触发 P1）</t>
        </is>
      </c>
      <c r="H34" s="30" t="inlineStr">
        <is>
          <t>复杂</t>
        </is>
      </c>
    </row>
    <row r="35">
      <c r="A35" s="30" t="inlineStr">
        <is>
          <t>M09</t>
        </is>
      </c>
      <c r="B35" s="31" t="inlineStr">
        <is>
          <t>5 其他特殊主动脉疾病</t>
        </is>
      </c>
      <c r="C35" s="31" t="inlineStr">
        <is>
          <t>遗传性／结缔组织病相关AAA</t>
        </is>
      </c>
      <c r="D35" s="31" t="inlineStr">
        <is>
          <t>遗传相关主动脉瘤；结缔组织病相关AAA</t>
        </is>
      </c>
      <c r="E35" s="31" t="inlineStr">
        <is>
          <t>复杂模式</t>
        </is>
      </c>
      <c r="F35" s="31" t="inlineStr">
        <is>
          <t>A 指南＋B 影像＋C 评分＋D 记忆＋E 风险</t>
        </is>
      </c>
      <c r="G35" s="31" t="inlineStr">
        <is>
          <t>急诊（若触发 P1）</t>
        </is>
      </c>
      <c r="H35" s="30" t="inlineStr">
        <is>
          <t>复杂</t>
        </is>
      </c>
    </row>
    <row r="36">
      <c r="A36" s="32" t="inlineStr">
        <is>
          <t>L01</t>
        </is>
      </c>
      <c r="B36" s="33" t="inlineStr">
        <is>
          <t>6 髂动脉瘤及主动脉髂动脉瘤</t>
        </is>
      </c>
      <c r="C36" s="33" t="inlineStr">
        <is>
          <t>孤立性髂动脉瘤</t>
        </is>
      </c>
      <c r="D36" s="33" t="inlineStr">
        <is>
          <t>孤立性髂动脉瘤；髂总／髂内／髂外动脉瘤</t>
        </is>
      </c>
      <c r="E36" s="33" t="inlineStr">
        <is>
          <t>指南模式</t>
        </is>
      </c>
      <c r="F36" s="33" t="inlineStr">
        <is>
          <t>B 影像量化器＋A 指南引擎</t>
        </is>
      </c>
      <c r="G36" s="33" t="inlineStr">
        <is>
          <t>急诊 / 复杂（若触发 P1~P6）</t>
        </is>
      </c>
      <c r="H36" s="32" t="inlineStr">
        <is>
          <t>指南</t>
        </is>
      </c>
    </row>
    <row r="37">
      <c r="A37" s="30" t="inlineStr">
        <is>
          <t>L02</t>
        </is>
      </c>
      <c r="B37" s="31" t="inlineStr">
        <is>
          <t>6 髂动脉瘤及主动脉髂动脉瘤</t>
        </is>
      </c>
      <c r="C37" s="31" t="inlineStr">
        <is>
          <t>AAA合并髂动脉瘤</t>
        </is>
      </c>
      <c r="D37" s="31" t="inlineStr">
        <is>
          <t>腹主动脉髂动脉联合动脉瘤；aortoiliac aneurysm</t>
        </is>
      </c>
      <c r="E37" s="31" t="inlineStr">
        <is>
          <t>复杂模式</t>
        </is>
      </c>
      <c r="F37" s="31" t="inlineStr">
        <is>
          <t>A 指南＋B 影像＋C 评分＋D 记忆＋E 风险</t>
        </is>
      </c>
      <c r="G37" s="31" t="inlineStr">
        <is>
          <t>急诊（若触发 P1）</t>
        </is>
      </c>
      <c r="H37" s="30" t="inlineStr">
        <is>
          <t>复杂</t>
        </is>
      </c>
    </row>
    <row r="38">
      <c r="A38" s="28" t="inlineStr">
        <is>
          <t>L03</t>
        </is>
      </c>
      <c r="B38" s="29" t="inlineStr">
        <is>
          <t>6 髂动脉瘤及主动脉髂动脉瘤</t>
        </is>
      </c>
      <c r="C38" s="29" t="inlineStr">
        <is>
          <t>症状性或破裂性髂动脉瘤</t>
        </is>
      </c>
      <c r="D38" s="29" t="inlineStr">
        <is>
          <t>症状性髂动脉瘤；髂动脉瘤破裂</t>
        </is>
      </c>
      <c r="E38" s="29" t="inlineStr">
        <is>
          <t>急诊模式</t>
        </is>
      </c>
      <c r="F38" s="29" t="inlineStr">
        <is>
          <t>启动急诊应急预案（不预置择期工具）</t>
        </is>
      </c>
      <c r="G38" s="29" t="inlineStr">
        <is>
          <t>—（已是最高优先级）</t>
        </is>
      </c>
      <c r="H38" s="28" t="inlineStr">
        <is>
          <t>急诊</t>
        </is>
      </c>
    </row>
    <row r="39">
      <c r="A39" s="32" t="inlineStr">
        <is>
          <t>P01</t>
        </is>
      </c>
      <c r="B39" s="33" t="inlineStr">
        <is>
          <t>7 AAA术后状态及并发症</t>
        </is>
      </c>
      <c r="C39" s="33" t="inlineStr">
        <is>
          <t>EVAR术后常规随访</t>
        </is>
      </c>
      <c r="D39" s="33" t="inlineStr">
        <is>
          <t>EVAR术后；常规随访；无已知并发症</t>
        </is>
      </c>
      <c r="E39" s="33" t="inlineStr">
        <is>
          <t>指南模式</t>
        </is>
      </c>
      <c r="F39" s="33" t="inlineStr">
        <is>
          <t>B 影像量化器＋A 指南引擎</t>
        </is>
      </c>
      <c r="G39" s="33" t="inlineStr">
        <is>
          <t>急诊 / 复杂（若触发 P1~P6）</t>
        </is>
      </c>
      <c r="H39" s="32" t="inlineStr">
        <is>
          <t>指南</t>
        </is>
      </c>
    </row>
    <row r="40">
      <c r="A40" s="32" t="inlineStr">
        <is>
          <t>P02</t>
        </is>
      </c>
      <c r="B40" s="33" t="inlineStr">
        <is>
          <t>7 AAA术后状态及并发症</t>
        </is>
      </c>
      <c r="C40" s="33" t="inlineStr">
        <is>
          <t>开放修复术后常规随访</t>
        </is>
      </c>
      <c r="D40" s="33" t="inlineStr">
        <is>
          <t>开放手术术后；OSR术后；常规随访</t>
        </is>
      </c>
      <c r="E40" s="33" t="inlineStr">
        <is>
          <t>指南模式</t>
        </is>
      </c>
      <c r="F40" s="33" t="inlineStr">
        <is>
          <t>B 影像量化器＋A 指南引擎</t>
        </is>
      </c>
      <c r="G40" s="33" t="inlineStr">
        <is>
          <t>急诊 / 复杂（若触发 P1~P6）</t>
        </is>
      </c>
      <c r="H40" s="32" t="inlineStr">
        <is>
          <t>指南</t>
        </is>
      </c>
    </row>
    <row r="41">
      <c r="A41" s="30" t="inlineStr">
        <is>
          <t>P03</t>
        </is>
      </c>
      <c r="B41" s="31" t="inlineStr">
        <is>
          <t>7 AAA术后状态及并发症</t>
        </is>
      </c>
      <c r="C41" s="31" t="inlineStr">
        <is>
          <t>EVAR术后并发症</t>
        </is>
      </c>
      <c r="D41" s="31" t="inlineStr">
        <is>
          <t>EVAR并发症；内漏；支架问题；瘤囊增大</t>
        </is>
      </c>
      <c r="E41" s="31" t="inlineStr">
        <is>
          <t>复杂模式</t>
        </is>
      </c>
      <c r="F41" s="31" t="inlineStr">
        <is>
          <t>A 指南＋B 影像＋C 评分＋D 记忆＋E 风险</t>
        </is>
      </c>
      <c r="G41" s="31" t="inlineStr">
        <is>
          <t>急诊（若触发 P1）</t>
        </is>
      </c>
      <c r="H41" s="30" t="inlineStr">
        <is>
          <t>复杂</t>
        </is>
      </c>
    </row>
    <row r="42">
      <c r="A42" s="30" t="inlineStr">
        <is>
          <t>P04</t>
        </is>
      </c>
      <c r="B42" s="31" t="inlineStr">
        <is>
          <t>7 AAA术后状态及并发症</t>
        </is>
      </c>
      <c r="C42" s="31" t="inlineStr">
        <is>
          <t>开放修复术后并发症</t>
        </is>
      </c>
      <c r="D42" s="31" t="inlineStr">
        <is>
          <t>开放术后并发症；吻合口问题；人工血管问题</t>
        </is>
      </c>
      <c r="E42" s="31" t="inlineStr">
        <is>
          <t>复杂模式</t>
        </is>
      </c>
      <c r="F42" s="31" t="inlineStr">
        <is>
          <t>A 指南＋B 影像＋C 评分＋D 记忆＋E 风险</t>
        </is>
      </c>
      <c r="G42" s="31" t="inlineStr">
        <is>
          <t>急诊（若触发 P1）</t>
        </is>
      </c>
      <c r="H42" s="30" t="inlineStr">
        <is>
          <t>复杂</t>
        </is>
      </c>
    </row>
    <row r="43">
      <c r="A43" s="30" t="inlineStr">
        <is>
          <t>P05</t>
        </is>
      </c>
      <c r="B43" s="31" t="inlineStr">
        <is>
          <t>7 AAA术后状态及并发症</t>
        </is>
      </c>
      <c r="C43" s="31" t="inlineStr">
        <is>
          <t>术后感染／继发性肠瘘</t>
        </is>
      </c>
      <c r="D43" s="31" t="inlineStr">
        <is>
          <t>移植物感染；继发性主动脉肠瘘；graft-enteric fistula</t>
        </is>
      </c>
      <c r="E43" s="31" t="inlineStr">
        <is>
          <t>复杂模式</t>
        </is>
      </c>
      <c r="F43" s="31" t="inlineStr">
        <is>
          <t>A 指南＋B 影像＋C 评分＋D 记忆＋E 风险</t>
        </is>
      </c>
      <c r="G43" s="31" t="inlineStr">
        <is>
          <t>急诊（若触发 P1）</t>
        </is>
      </c>
      <c r="H43" s="30" t="inlineStr">
        <is>
          <t>复杂</t>
        </is>
      </c>
    </row>
    <row r="44">
      <c r="A44" s="28" t="inlineStr">
        <is>
          <t>P06</t>
        </is>
      </c>
      <c r="B44" s="29" t="inlineStr">
        <is>
          <t>7 AAA术后状态及并发症</t>
        </is>
      </c>
      <c r="C44" s="29" t="inlineStr">
        <is>
          <t>术后再次破裂</t>
        </is>
      </c>
      <c r="D44" s="29" t="inlineStr">
        <is>
          <t>EVAR术后破裂；开放术后再破裂；post-repair rupture</t>
        </is>
      </c>
      <c r="E44" s="29" t="inlineStr">
        <is>
          <t>急诊模式</t>
        </is>
      </c>
      <c r="F44" s="29" t="inlineStr">
        <is>
          <t>启动急诊应急预案（不预置择期工具）</t>
        </is>
      </c>
      <c r="G44" s="29" t="inlineStr">
        <is>
          <t>—（已是最高优先级）</t>
        </is>
      </c>
      <c r="H44" s="28" t="inlineStr">
        <is>
          <t>急诊</t>
        </is>
      </c>
    </row>
    <row r="46">
      <c r="A46" s="34" t="inlineStr">
        <is>
          <t>图例</t>
        </is>
      </c>
    </row>
    <row r="47">
      <c r="A47" s="35" t="inlineStr">
        <is>
          <t>急诊模式</t>
        </is>
      </c>
    </row>
    <row r="48">
      <c r="A48" s="36" t="inlineStr">
        <is>
          <t>复杂模式</t>
        </is>
      </c>
    </row>
    <row r="49">
      <c r="A49" s="37" t="inlineStr">
        <is>
          <t>指南模式</t>
        </is>
      </c>
    </row>
    <row r="50">
      <c r="A50" s="38" t="inlineStr">
        <is>
          <t>前置/辅助处理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VascCase字段设计表（含路由决策流水线）</dc:title>
  <dcterms:created xsi:type="dcterms:W3CDTF">2026-10-11T16:04:56Z</dcterms:created>
  <dcterms:modified xsi:type="dcterms:W3CDTF">2026-10-11T16:05:08Z</dcterms:modified>
</cp:coreProperties>
</file>