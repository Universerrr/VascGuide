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6d4375bc3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使用说明" sheetId="1" r:id="Rd71a35ce34744ef4"/>
    <x:sheet xmlns:r="http://schemas.openxmlformats.org/officeDocument/2006/relationships" name="02_病种规则" sheetId="2" r:id="R1b8a538dcafe43b4"/>
    <x:sheet xmlns:r="http://schemas.openxmlformats.org/officeDocument/2006/relationships" name="03_关键词词典" sheetId="3" r:id="Rbee58cf14e9b4bcc"/>
    <x:sheet xmlns:r="http://schemas.openxmlformats.org/officeDocument/2006/relationships" name="04_覆盖规则" sheetId="4" r:id="Rc56d1daa553c4ce1"/>
    <x:sheet xmlns:r="http://schemas.openxmlformats.org/officeDocument/2006/relationships" name="05_路由模拟" sheetId="5" r:id="R6175867937dc43db"/>
    <x:sheet xmlns:r="http://schemas.openxmlformats.org/officeDocument/2006/relationships" name="06_测试病例" sheetId="6" r:id="R2084277c5ec64797"/>
    <x:sheet xmlns:r="http://schemas.openxmlformats.org/officeDocument/2006/relationships" name="07_指南索引" sheetId="7" r:id="R7edf442f7f87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23568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C74343"/>
      <x:name val="Carlito"/>
    </x:font>
    <x:font>
      <x:b/>
      <x:sz val="11"/>
      <x:color rgb="FF23568A"/>
      <x:name val="Carlito"/>
    </x:font>
    <x:font>
      <x:b/>
      <x:sz val="16"/>
      <x:color rgb="FF23568A"/>
      <x:name val="Carlito"/>
    </x:font>
    <x:font>
      <x:sz val="11"/>
      <x:color rgb="FFC74343"/>
      <x:name val="Carlito"/>
    </x:font>
    <x:font>
      <x:sz val="11"/>
      <x:color rgb="FFC18A2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3568A"/>
      </x:patternFill>
    </x:fill>
    <x:fill>
      <x:patternFill patternType="solid">
        <x:fgColor rgb="FF0D7A8A"/>
      </x:patternFill>
    </x:fill>
    <x:fill>
      <x:patternFill patternType="solid">
        <x:fgColor rgb="FFFFFFFF"/>
      </x:patternFill>
    </x:fill>
    <x:fill>
      <x:patternFill patternType="solid">
        <x:fgColor rgb="FFF4F7FB"/>
      </x:patternFill>
    </x:fill>
    <x:fill>
      <x:patternFill patternType="solid">
        <x:fgColor rgb="FFFFF0EE"/>
      </x:patternFill>
    </x:fill>
    <x:fill>
      <x:patternFill patternType="solid">
        <x:fgColor rgb="FFE4F5EA"/>
      </x:patternFill>
    </x:fill>
    <x:fill>
      <x:patternFill patternType="solid">
        <x:fgColor rgb="FFEAF1FC"/>
      </x:patternFill>
    </x:fill>
    <x:fill>
      <x:patternFill patternType="solid">
        <x:fgColor rgb="FFFFF2D8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vertic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0b05c1b3547f5" /><Relationship Type="http://schemas.openxmlformats.org/officeDocument/2006/relationships/theme" Target="/xl/theme/theme1.xml" Id="R8f002f453bb94775" /><Relationship Type="http://schemas.openxmlformats.org/officeDocument/2006/relationships/sharedStrings" Target="/xl/sharedStrings.xml" Id="R0cc0cc91df6f455a" /><Relationship Type="http://schemas.openxmlformats.org/officeDocument/2006/relationships/worksheet" Target="/xl/worksheets/sheet1.xml" Id="Rd71a35ce34744ef4" /><Relationship Type="http://schemas.openxmlformats.org/officeDocument/2006/relationships/worksheet" Target="/xl/worksheets/sheet2.xml" Id="R1b8a538dcafe43b4" /><Relationship Type="http://schemas.openxmlformats.org/officeDocument/2006/relationships/worksheet" Target="/xl/worksheets/sheet3.xml" Id="Rbee58cf14e9b4bcc" /><Relationship Type="http://schemas.openxmlformats.org/officeDocument/2006/relationships/worksheet" Target="/xl/worksheets/sheet4.xml" Id="Rc56d1daa553c4ce1" /><Relationship Type="http://schemas.openxmlformats.org/officeDocument/2006/relationships/worksheet" Target="/xl/worksheets/sheet5.xml" Id="R6175867937dc43db" /><Relationship Type="http://schemas.openxmlformats.org/officeDocument/2006/relationships/worksheet" Target="/xl/worksheets/sheet6.xml" Id="R2084277c5ec64797" /><Relationship Type="http://schemas.openxmlformats.org/officeDocument/2006/relationships/worksheet" Target="/xl/worksheets/sheet7.xml" Id="R7edf442f7f874389" /></Relationships>
</file>

<file path=xl/tables/table1.xml><?xml version="1.0" encoding="utf-8"?>
<x:table xmlns:x="http://schemas.openxmlformats.org/spreadsheetml/2006/main" id="1" name="AAADiseaseRules" displayName="AAADiseaseRules" ref="A4:O97" headerRowCount="1" totalsRowCount="0" totalsRowShown="0">
  <x:tableColumns count="15">
    <x:tableColumn id="1" name="规则ID"/>
    <x:tableColumn id="2" name="疾病主类"/>
    <x:tableColumn id="3" name="具体病例类型"/>
    <x:tableColumn id="4" name="候选触发词/缩写（OR）"/>
    <x:tableColumn id="5" name="必须同时满足（AND）"/>
    <x:tableColumn id="6" name="否定/不适用（NOT）"/>
    <x:tableColumn id="7" name="建议默认模式"/>
    <x:tableColumn id="8" name="何时强制急诊"/>
    <x:tableColumn id="9" name="何时走复杂模式"/>
    <x:tableColumn id="10" name="实际调度工具/动作"/>
    <x:tableColumn id="11" name="指南章节/条款"/>
    <x:tableColumn id="12" name="规则属性"/>
    <x:tableColumn id="13" name="临床备注/注意"/>
    <x:tableColumn id="14" name="审核状态"/>
    <x:tableColumn id="15" name="指南DOI/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AAKeywords" displayName="AAAKeywords" ref="A4:J409" headerRowCount="1" totalsRowCount="0" totalsRowShown="0">
  <x:tableColumns count="10">
    <x:tableColumn id="1" name="词典行ID"/>
    <x:tableColumn id="2" name="关联规则ID"/>
    <x:tableColumn id="3" name="所属一级分类"/>
    <x:tableColumn id="4" name="具体疾病/危险条件"/>
    <x:tableColumn id="5" name="中文/英文关键词（独立项）"/>
    <x:tableColumn id="6" name="候选模式"/>
    <x:tableColumn id="7" name="匹配角色"/>
    <x:tableColumn id="8" name="必核实条件（AND）"/>
    <x:tableColumn id="9" name="需排除（NOT）"/>
    <x:tableColumn id="10" name="最终处理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AAOverlays" displayName="AAAOverlays" ref="A4:I33" headerRowCount="1" totalsRowCount="0" totalsRowShown="0">
  <x:tableColumns count="9">
    <x:tableColumn id="1" name="覆盖ID"/>
    <x:tableColumn id="2" name="覆盖模式"/>
    <x:tableColumn id="3" name="触发器/风险项"/>
    <x:tableColumn id="4" name="候选关键词/术语"/>
    <x:tableColumn id="5" name="附加条件AND"/>
    <x:tableColumn id="6" name="NOT排除项"/>
    <x:tableColumn id="7" name="匹配/路由说明"/>
    <x:tableColumn id="8" name="依据来源"/>
    <x:tableColumn id="9" name="工程规则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AATests" displayName="AAATests" ref="A4:G38" headerRowCount="1" totalsRowCount="0" totalsRowShown="0">
  <x:tableColumns count="7">
    <x:tableColumn id="1" name="用例ID"/>
    <x:tableColumn id="2" name="病例简述"/>
    <x:tableColumn id="3" name="结构化触发/条件"/>
    <x:tableColumn id="4" name="预期模式"/>
    <x:tableColumn id="5" name="应调度工具/动作"/>
    <x:tableColumn id="6" name="预期原因"/>
    <x:tableColumn id="7" name="工程测试结果（待填写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bb83ec9422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4ce5bcf6ec41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ae9385780347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4b15367e18349c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31" hidden="0" customWidth="1"/>
    <x:col min="5" max="5" width="27" hidden="0" customWidth="1"/>
    <x:col min="6" max="6" width="27" hidden="0" customWidth="1"/>
    <x:col min="7" max="7" width="16" hidden="0" customWidth="1"/>
    <x:col min="8" max="8" width="22" hidden="0" customWidth="1"/>
  </x:cols>
  <x:sheetData>
    <x:row r="1" ht="36" customHeight="1">
      <x:c r="A1" s="4" t="str">
        <x:v>VascGuide｜AAA三模式关键词路由规则库 v1.3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正式仅三种模式：急诊 &gt; 复杂 &gt; 指南；本表为临床审核版，规则触发词仅用作候选识别</x:v>
      </x:c>
      <x:c r="B2" s="10"/>
      <x:c r="C2" s="10"/>
      <x:c r="D2" s="10"/>
      <x:c r="E2" s="10"/>
      <x:c r="F2" s="10"/>
      <x:c r="G2" s="10"/>
      <x:c r="H2" s="10"/>
    </x:row>
    <x:row r="4" ht="33" customHeight="1">
      <x:c r="A4" s="17" t="str">
        <x:v>模式</x:v>
      </x:c>
      <x:c r="B4" s="17" t="str">
        <x:v>触发优先级</x:v>
      </x:c>
      <x:c r="C4" s="17" t="str">
        <x:v>适用场景</x:v>
      </x:c>
      <x:c r="D4" s="17" t="str">
        <x:v>工具调度</x:v>
      </x:c>
      <x:c r="E4" s="17" t="str">
        <x:v>输出/注意</x:v>
      </x:c>
      <x:c r="F4" s="17" t="str">
        <x:v>工程依据</x:v>
      </x:c>
      <x:c r="G4" s="17" t="str">
        <x:v>状态</x:v>
      </x:c>
      <x:c r="H4" s="17" t="str">
        <x:v>校验</x:v>
      </x:c>
    </x:row>
    <x:row r="5">
      <x:c r="A5" t="str">
        <x:v>急诊模式</x:v>
      </x:c>
      <x:c r="B5" t="n">
        <x:v>1</x:v>
      </x:c>
      <x:c r="C5" t="str">
        <x:v>疑似/确诊破裂；症状性动脉瘤；出血/缺血/休克等</x:v>
      </x:c>
      <x:c r="D5" t="str">
        <x:v>启动急诊应急预案</x:v>
      </x:c>
      <x:c r="E5" t="str">
        <x:v>无需先完成择期工具评估；急诊具体治疗由临床决定</x:v>
      </x:c>
      <x:c r="F5" t="str">
        <x:v>原Router模式1</x:v>
      </x:c>
      <x:c r="G5" t="str">
        <x:v>启用</x:v>
      </x:c>
      <x:c r="H5" t="str">
        <x:v>最高优先级</x:v>
      </x:c>
    </x:row>
    <x:row r="6">
      <x:c r="A6" t="str">
        <x:v>复杂模式</x:v>
      </x:c>
      <x:c r="B6" t="n">
        <x:v>2</x:v>
      </x:c>
      <x:c r="C6" t="str">
        <x:v>特殊病种、复杂解剖、严重心肺肾合并症、复杂术后、证据冲突/信息不足</x:v>
      </x:c>
      <x:c r="D6" t="str">
        <x:v>A指南＋B影像＋C评分＋D记忆＋E风险</x:v>
      </x:c>
      <x:c r="E6" t="str">
        <x:v>未匹配→默认复杂；置信度×0.5＋人工复核</x:v>
      </x:c>
      <x:c r="F6" t="str">
        <x:v>原Router模式4；影像模式迁入</x:v>
      </x:c>
      <x:c r="G6" t="str">
        <x:v>启用</x:v>
      </x:c>
      <x:c r="H6" t="str">
        <x:v>全5工具</x:v>
      </x:c>
    </x:row>
    <x:row r="7">
      <x:c r="A7" t="str">
        <x:v>指南模式</x:v>
      </x:c>
      <x:c r="B7" t="n">
        <x:v>3</x:v>
      </x:c>
      <x:c r="C7" t="str">
        <x:v>已排除急诊/复杂，且标准低复杂度、资料齐全或符合明确的术后常规随访</x:v>
      </x:c>
      <x:c r="D7" t="str">
        <x:v>B影像＋A指南</x:v>
      </x:c>
      <x:c r="E7" t="str">
        <x:v>‘直径达阈值’≠自动手术；术后不套术前解剖标准</x:v>
      </x:c>
      <x:c r="F7" t="str">
        <x:v>原Router模式2</x:v>
      </x:c>
      <x:c r="G7" t="str">
        <x:v>启用</x:v>
      </x:c>
      <x:c r="H7" t="str">
        <x:v>仅低复杂度</x:v>
      </x:c>
    </x:row>
    <x:row r="9" ht="26" customHeight="1">
      <x:c r="A9" s="23" t="str">
        <x:v>规则使用方法</x:v>
      </x:c>
      <x:c r="B9" s="23" t="str"/>
      <x:c r="C9" s="23" t="str"/>
      <x:c r="D9" s="23" t="str"/>
      <x:c r="E9" s="23" t="str"/>
      <x:c r="F9" s="23" t="str"/>
      <x:c r="G9" s="23" t="str"/>
      <x:c r="H9" s="23" t="str"/>
    </x:row>
    <x:row r="11" ht="35" customHeight="1">
      <x:c r="A11" s="29" t="str">
        <x:v>① 从【02_病种规则】和【03_关键词词典】提取候选病种（中文、英文、缩写）；允许同时匹配多个疾病标签。</x:v>
      </x:c>
      <x:c r="B11" s="29"/>
      <x:c r="C11" s="29"/>
      <x:c r="D11" s="29"/>
      <x:c r="E11" s="29"/>
      <x:c r="F11" s="29"/>
      <x:c r="G11" s="29"/>
      <x:c r="H11" s="29"/>
    </x:row>
    <x:row r="12" ht="35" customHeight="1">
      <x:c r="A12" s="37" t="str">
        <x:v>② 匹配不能只靠substring：必须满足每条病种规则的AND字段，并审查NOT否定、既往/当前、疑似/确诊、术前/术后。</x:v>
      </x:c>
      <x:c r="B12" s="37"/>
      <x:c r="C12" s="37"/>
      <x:c r="D12" s="37"/>
      <x:c r="E12" s="37"/>
      <x:c r="F12" s="37"/>
      <x:c r="G12" s="37"/>
      <x:c r="H12" s="37"/>
    </x:row>
    <x:row r="13" ht="35" customHeight="1">
      <x:c r="A13" s="29" t="str">
        <x:v>③ 所有病例先运行【04_覆盖规则】的急诊覆盖，再跑复杂覆盖；无覆盖且数据充分才可进入指南模式。</x:v>
      </x:c>
      <x:c r="B13" s="29"/>
      <x:c r="C13" s="29"/>
      <x:c r="D13" s="29"/>
      <x:c r="E13" s="29"/>
      <x:c r="F13" s="29"/>
      <x:c r="G13" s="29"/>
      <x:c r="H13" s="29"/>
    </x:row>
    <x:row r="14" ht="35" customHeight="1">
      <x:c r="A14" s="37" t="str">
        <x:v>④ 急诊模式调用应急预案；复杂模式固定调用A/B/C/D/E全部五工具；指南模式仅B影像量化器＋A指南引擎。</x:v>
      </x:c>
      <x:c r="B14" s="37"/>
      <x:c r="C14" s="37"/>
      <x:c r="D14" s="37"/>
      <x:c r="E14" s="37"/>
      <x:c r="F14" s="37"/>
      <x:c r="G14" s="37"/>
      <x:c r="H14" s="37"/>
    </x:row>
    <x:row r="15" ht="35" customHeight="1">
      <x:c r="A15" s="29" t="str">
        <x:v>⑤ 术后普通稳定随访、稳定II型内漏可使用指南模式，但按术后专属规则判断，不套术前颈长/成角入路门槛。</x:v>
      </x:c>
      <x:c r="B15" s="29"/>
      <x:c r="C15" s="29"/>
      <x:c r="D15" s="29"/>
      <x:c r="E15" s="29"/>
      <x:c r="F15" s="29"/>
      <x:c r="G15" s="29"/>
      <x:c r="H15" s="29"/>
    </x:row>
    <x:row r="16" ht="35" customHeight="1">
      <x:c r="A16" s="37" t="str">
        <x:v>⑥ 无明确可执行规则或核心信息缺失：复杂模式＋置信度×0.5＋人工复核；不要推断出缺失值或自动给出手术决策。</x:v>
      </x:c>
      <x:c r="B16" s="37"/>
      <x:c r="C16" s="37"/>
      <x:c r="D16" s="37"/>
      <x:c r="E16" s="37"/>
      <x:c r="F16" s="37"/>
      <x:c r="G16" s="37"/>
      <x:c r="H16" s="37"/>
    </x:row>
    <x:row r="17" ht="35" customHeight="1">
      <x:c r="A17" s="29" t="str">
        <x:v>⑦ 【05_路由模拟】为手动输入临床条件的规则演示，并非自然语言分类器；【06_测试病例】列出预期结果供工程单元测试。</x:v>
      </x:c>
      <x:c r="B17" s="29"/>
      <x:c r="C17" s="29"/>
      <x:c r="D17" s="29"/>
      <x:c r="E17" s="29"/>
      <x:c r="F17" s="29"/>
      <x:c r="G17" s="29"/>
      <x:c r="H17" s="29"/>
    </x:row>
    <x:row r="20" ht="40" customHeight="1">
      <x:c r="A20" s="44" t="str">
        <x:v>规则依据说明｜ESVS指南负责疾病定义与临床建议；模式优先级、关键词匹配及15mm/45°/7mm等为原Router工程阈值；两者不可混称。</x:v>
      </x:c>
      <x:c r="B20" s="44"/>
      <x:c r="C20" s="44"/>
      <x:c r="D20" s="44"/>
      <x:c r="E20" s="44"/>
      <x:c r="F20" s="44"/>
      <x:c r="G20" s="44"/>
      <x:c r="H20" s="44"/>
    </x:row>
    <x:row r="22" ht="28" customHeight="1">
      <x:c r="A22" s="48" t="str">
        <x:v>重要修订｜原图复杂模式=全部五工具；取消的仅为‘影像模式’，不是删除B影像量化器。</x:v>
      </x:c>
      <x:c r="B22" s="48"/>
      <x:c r="C22" s="48"/>
      <x:c r="D22" s="48"/>
      <x:c r="E22" s="48"/>
      <x:c r="F22" s="48"/>
      <x:c r="G22" s="48"/>
      <x:c r="H22" s="48"/>
    </x:row>
    <x:row r="25" ht="33" customHeight="1">
      <x:c r="A25" s="17" t="str">
        <x:v>病种规则数</x:v>
      </x:c>
      <x:c r="B25" s="17" t="str">
        <x:v>覆盖规则数</x:v>
      </x:c>
      <x:c r="C25" s="17" t="str">
        <x:v>关键词条目数</x:v>
      </x:c>
      <x:c r="D25" s="17" t="str">
        <x:v>测试病例数</x:v>
      </x:c>
      <x:c r="E25" s="17" t="str">
        <x:v>待审核</x:v>
      </x:c>
    </x:row>
    <x:row r="26" ht="31" customHeight="1">
      <x:c r="A26" s="50" t="n">
        <x:f>COUNTA('02_病种规则'!A5:A500)</x:f>
        <x:v>93</x:v>
      </x:c>
      <x:c r="B26" s="50" t="n">
        <x:f>COUNTA('04_覆盖规则'!A5:A200)</x:f>
        <x:v>29</x:v>
      </x:c>
      <x:c r="C26" s="50" t="n">
        <x:f>COUNTA('03_关键词词典'!A5:A1500)</x:f>
        <x:v>405</x:v>
      </x:c>
      <x:c r="D26" s="50" t="n">
        <x:f>COUNTA('06_测试病例'!A5:A200)</x:f>
        <x:v>34</x:v>
      </x:c>
      <x:c r="E26" s="50" t="n">
        <x:f>COUNTIF('02_病种规则'!N5:N500,"待临床审核")</x:f>
        <x:v>93</x:v>
      </x:c>
    </x:row>
  </x:sheetData>
  <x:mergeCells>
    <x:mergeCell ref="A1:H1"/>
    <x:mergeCell ref="A2:H2"/>
    <x:mergeCell ref="A9:H9"/>
    <x:mergeCell ref="A11:H11"/>
    <x:mergeCell ref="A12:H12"/>
    <x:mergeCell ref="A13:H13"/>
    <x:mergeCell ref="A14:H14"/>
    <x:mergeCell ref="A15:H15"/>
    <x:mergeCell ref="A16:H16"/>
    <x:mergeCell ref="A17:H17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9" hidden="0" customWidth="1"/>
    <x:col min="4" max="4" width="38" hidden="0" customWidth="1"/>
    <x:col min="5" max="5" width="45" hidden="0" customWidth="1"/>
    <x:col min="6" max="6" width="38" hidden="0" customWidth="1"/>
    <x:col min="7" max="7" width="16" hidden="0" customWidth="1"/>
    <x:col min="8" max="8" width="32" hidden="0" customWidth="1"/>
    <x:col min="9" max="9" width="34" hidden="0" customWidth="1"/>
    <x:col min="10" max="10" width="40" hidden="0" customWidth="1"/>
    <x:col min="11" max="11" width="20" hidden="0" customWidth="1"/>
    <x:col min="12" max="12" width="19" hidden="0" customWidth="1"/>
    <x:col min="13" max="13" width="40" hidden="0" customWidth="1"/>
    <x:col min="14" max="14" width="17" hidden="0" customWidth="1"/>
    <x:col min="15" max="15" width="38" hidden="0" customWidth="1"/>
  </x:cols>
  <x:sheetData>
    <x:row r="1" ht="36" customHeight="1">
      <x:c r="A1" s="4" t="str">
        <x:v>02｜病种 → 关键词 → 三模式 → 工具 调用（93条）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10" t="str">
        <x:v>匹配语义：候选词 OR；必须条件 AND；排除项 NOT；全局急诊覆盖 &gt; 复杂覆盖 &gt; 指南门槛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3" customHeight="1">
      <x:c r="A4" s="17" t="str">
        <x:v>规则ID</x:v>
      </x:c>
      <x:c r="B4" s="17" t="str">
        <x:v>疾病主类</x:v>
      </x:c>
      <x:c r="C4" s="17" t="str">
        <x:v>具体病例类型</x:v>
      </x:c>
      <x:c r="D4" s="17" t="str">
        <x:v>候选触发词/缩写（OR）</x:v>
      </x:c>
      <x:c r="E4" s="17" t="str">
        <x:v>必须同时满足（AND）</x:v>
      </x:c>
      <x:c r="F4" s="17" t="str">
        <x:v>否定/不适用（NOT）</x:v>
      </x:c>
      <x:c r="G4" s="17" t="str">
        <x:v>建议默认模式</x:v>
      </x:c>
      <x:c r="H4" s="17" t="str">
        <x:v>何时强制急诊</x:v>
      </x:c>
      <x:c r="I4" s="17" t="str">
        <x:v>何时走复杂模式</x:v>
      </x:c>
      <x:c r="J4" s="17" t="str">
        <x:v>实际调度工具/动作</x:v>
      </x:c>
      <x:c r="K4" s="17" t="str">
        <x:v>指南章节/条款</x:v>
      </x:c>
      <x:c r="L4" s="17" t="str">
        <x:v>规则属性</x:v>
      </x:c>
      <x:c r="M4" s="17" t="str">
        <x:v>临床备注/注意</x:v>
      </x:c>
      <x:c r="N4" s="17" t="str">
        <x:v>审核状态</x:v>
      </x:c>
      <x:c r="O4" s="17" t="str">
        <x:v>指南DOI/来源</x:v>
      </x:c>
    </x:row>
    <x:row r="5" ht="49" customHeight="1">
      <x:c r="A5" s="53" t="str">
        <x:v>R001</x:v>
      </x:c>
      <x:c r="B5" s="53" t="str">
        <x:v>1 无症状AAA</x:v>
      </x:c>
      <x:c r="C5" s="53" t="str">
        <x:v>小型无症状肾下AAA</x:v>
      </x:c>
      <x:c r="D5" s="53" t="str">
        <x:v>小型腹主动脉瘤|小AAA|small AAA|小型AAA</x:v>
      </x:c>
      <x:c r="E5" s="53" t="str">
        <x:v>AAA确诊 AND 当前无归因性症状 AND 未达适用人群修复评估阈值 AND 不存在特殊病因/高危特征</x:v>
      </x:c>
      <x:c r="F5" s="53" t="str">
        <x:v>仅‘否认腹痛’不足以证明无症状；排除已有症状性诊断</x:v>
      </x:c>
      <x:c r="G5" s="60" t="str">
        <x:v>指南模式</x:v>
      </x:c>
      <x:c r="H5" s="53" t="str">
        <x:v>发现破裂/疑似破裂、休克、活动性大出血、急性缺血或急性病情恶化→急诊优先</x:v>
      </x:c>
      <x:c r="I5" s="53" t="str">
        <x:v>复杂解剖/严重合并症/资料冲突/治疗史复杂→复杂</x:v>
      </x:c>
      <x:c r="J5" s="53" t="str">
        <x:v>B 影像量化器＋A 指南引擎</x:v>
      </x:c>
      <x:c r="K5" s="53" t="str">
        <x:v>§4.1–4.4</x:v>
      </x:c>
      <x:c r="L5" s="53" t="str">
        <x:v>指南病种＋工程路由</x:v>
      </x:c>
      <x:c r="M5" s="53" t="str">
        <x:v>男性&lt;55mm/女性&lt;50mm用于常规梭形AAA修复评估分层；不是AAA诊断阈值</x:v>
      </x:c>
      <x:c r="N5" s="58" t="str">
        <x:v>待临床审核</x:v>
      </x:c>
      <x:c r="O5" s="53" t="str">
        <x:v>https://doi.org/10.1016/j.ejvs.2023.11.002</x:v>
      </x:c>
    </x:row>
    <x:row r="6" ht="49" customHeight="1">
      <x:c r="A6" s="53" t="str">
        <x:v>R002</x:v>
      </x:c>
      <x:c r="B6" s="53" t="str">
        <x:v>1 无症状AAA</x:v>
      </x:c>
      <x:c r="C6" s="53" t="str">
        <x:v>男性达到常规修复评估阈值</x:v>
      </x:c>
      <x:c r="D6" s="53" t="str">
        <x:v>男性AAA≥55mm|AAA 5.5cm|55 mm AAA</x:v>
      </x:c>
      <x:c r="E6" s="53" t="str">
        <x:v>男性 AND 无症状 AND 最大直径≥55mm AND 非感染/非假性/非破裂 AND 术前</x:v>
      </x:c>
      <x:c r="F6" s="53" t="str">
        <x:v>女性或未明确性别；既往已修复</x:v>
      </x:c>
      <x:c r="G6" s="60" t="str">
        <x:v>指南模式</x:v>
      </x:c>
      <x:c r="H6" s="53" t="str">
        <x:v>发现破裂/疑似破裂、休克、活动性大出血、急性缺血或急性病情恶化→急诊优先</x:v>
      </x:c>
      <x:c r="I6" s="53" t="str">
        <x:v>复杂解剖/严重合并症/资料冲突/治疗史复杂→复杂</x:v>
      </x:c>
      <x:c r="J6" s="53" t="str">
        <x:v>B 影像量化器＋A 指南引擎</x:v>
      </x:c>
      <x:c r="K6" s="53" t="str">
        <x:v>§4.4; Rec 22</x:v>
      </x:c>
      <x:c r="L6" s="53" t="str">
        <x:v>指南病种＋工程路由</x:v>
      </x:c>
      <x:c r="M6" s="53" t="str">
        <x:v>建议修复评估≠必须手术，需个体化决策</x:v>
      </x:c>
      <x:c r="N6" s="58" t="str">
        <x:v>待临床审核</x:v>
      </x:c>
      <x:c r="O6" s="53" t="str">
        <x:v>https://doi.org/10.1016/j.ejvs.2023.11.002</x:v>
      </x:c>
    </x:row>
    <x:row r="7" ht="49" customHeight="1">
      <x:c r="A7" s="53" t="str">
        <x:v>R003</x:v>
      </x:c>
      <x:c r="B7" s="53" t="str">
        <x:v>1 无症状AAA</x:v>
      </x:c>
      <x:c r="C7" s="53" t="str">
        <x:v>女性达到常规修复评估阈值</x:v>
      </x:c>
      <x:c r="D7" s="53" t="str">
        <x:v>女性AAA≥50mm|AAA 5.0cm|50 mm female AAA</x:v>
      </x:c>
      <x:c r="E7" s="53" t="str">
        <x:v>女性 AND 无症状 AND 最大直径≥50mm AND 术前常规梭形AAA</x:v>
      </x:c>
      <x:c r="F7" s="53" t="str">
        <x:v>男性或性别未知；高危特殊类型</x:v>
      </x:c>
      <x:c r="G7" s="60" t="str">
        <x:v>指南模式</x:v>
      </x:c>
      <x:c r="H7" s="53" t="str">
        <x:v>发现破裂/疑似破裂、休克、活动性大出血、急性缺血或急性病情恶化→急诊优先</x:v>
      </x:c>
      <x:c r="I7" s="53" t="str">
        <x:v>复杂解剖/严重合并症/资料冲突/治疗史复杂→复杂</x:v>
      </x:c>
      <x:c r="J7" s="53" t="str">
        <x:v>B 影像量化器＋A 指南引擎</x:v>
      </x:c>
      <x:c r="K7" s="53" t="str">
        <x:v>§4.4; Rec 23</x:v>
      </x:c>
      <x:c r="L7" s="53" t="str">
        <x:v>指南病种＋工程路由</x:v>
      </x:c>
      <x:c r="M7" s="53" t="str">
        <x:v>女性为'可考虑'修复，等级与男性不同</x:v>
      </x:c>
      <x:c r="N7" s="58" t="str">
        <x:v>待临床审核</x:v>
      </x:c>
      <x:c r="O7" s="53" t="str">
        <x:v>https://doi.org/10.1016/j.ejvs.2023.11.002</x:v>
      </x:c>
    </x:row>
    <x:row r="8" ht="49" customHeight="1">
      <x:c r="A8" s="53" t="str">
        <x:v>R004</x:v>
      </x:c>
      <x:c r="B8" s="53" t="str">
        <x:v>1 无症状AAA</x:v>
      </x:c>
      <x:c r="C8" s="53" t="str">
        <x:v>快速增长AAA</x:v>
      </x:c>
      <x:c r="D8" s="53" t="str">
        <x:v>快速增长|增长≥10mm/年|rapidly expanding AAA|rapid growth</x:v>
      </x:c>
      <x:c r="E8" s="53" t="str">
        <x:v>同方法测量或复核的增长速度≥10 mm/年；当前无急症</x:v>
      </x:c>
      <x:c r="F8" s="53" t="str">
        <x:v>不同模态/切面测量误差未复核</x:v>
      </x:c>
      <x:c r="G8" s="62" t="str">
        <x:v>复杂模式</x:v>
      </x:c>
      <x:c r="H8" s="53" t="str">
        <x:v>发现破裂/疑似破裂、休克、活动性大出血、急性缺血或急性病情恶化→急诊优先</x:v>
      </x:c>
      <x:c r="I8" s="53" t="str">
        <x:v>优先重复核对直径测量；异常增长并非一律即刻修复</x:v>
      </x:c>
      <x:c r="J8" s="53" t="str">
        <x:v>A 指南引擎＋B 影像量化器＋C 解剖评分器＋D 记忆检索器＋E 风险评估器</x:v>
      </x:c>
      <x:c r="K8" s="53" t="str">
        <x:v>§4.4; Rec 24</x:v>
      </x:c>
      <x:c r="L8" s="53" t="str">
        <x:v>指南病种＋工程路由</x:v>
      </x:c>
      <x:c r="M8" s="53" t="str">
        <x:v>指南建议转诊/重新测量和进一步评估，不直接推断破裂</x:v>
      </x:c>
      <x:c r="N8" s="58" t="str">
        <x:v>待临床审核</x:v>
      </x:c>
      <x:c r="O8" s="53" t="str">
        <x:v>https://doi.org/10.1016/j.ejvs.2023.11.002</x:v>
      </x:c>
    </x:row>
    <x:row r="9" ht="49" customHeight="1">
      <x:c r="A9" s="53" t="str">
        <x:v>R005</x:v>
      </x:c>
      <x:c r="B9" s="53" t="str">
        <x:v>1 无症状AAA</x:v>
      </x:c>
      <x:c r="C9" s="53" t="str">
        <x:v>偶然发现AAA</x:v>
      </x:c>
      <x:c r="D9" s="53" t="str">
        <x:v>体检发现腹主动脉瘤|偶然发现AAA|incidental AAA</x:v>
      </x:c>
      <x:c r="E9" s="53" t="str">
        <x:v>影像或超声正式提示AAA AND 当前没有AAA归因性症状</x:v>
      </x:c>
      <x:c r="F9" s="53" t="str">
        <x:v>仅‘腹主动脉扩张’无确诊；筛查正常</x:v>
      </x:c>
      <x:c r="G9" s="60" t="str">
        <x:v>指南模式</x:v>
      </x:c>
      <x:c r="H9" s="53" t="str">
        <x:v>发现破裂/疑似破裂、休克、活动性大出血、急性缺血或急性病情恶化→急诊优先</x:v>
      </x:c>
      <x:c r="I9" s="53" t="str">
        <x:v>复杂解剖/严重合并症/资料冲突/治疗史复杂→复杂</x:v>
      </x:c>
      <x:c r="J9" s="53" t="str">
        <x:v>B 影像量化器＋A 指南引擎</x:v>
      </x:c>
      <x:c r="K9" s="53" t="str">
        <x:v>§3.4; §4</x:v>
      </x:c>
      <x:c r="L9" s="53" t="str">
        <x:v>指南病种＋工程路由</x:v>
      </x:c>
      <x:c r="M9" s="53" t="str">
        <x:v>入口标志；继续按直径与解剖分层</x:v>
      </x:c>
      <x:c r="N9" s="58" t="str">
        <x:v>待临床审核</x:v>
      </x:c>
      <x:c r="O9" s="53" t="str">
        <x:v>https://doi.org/10.1016/j.ejvs.2023.11.002</x:v>
      </x:c>
    </x:row>
    <x:row r="10" ht="49" customHeight="1">
      <x:c r="A10" s="53" t="str">
        <x:v>R006</x:v>
      </x:c>
      <x:c r="B10" s="53" t="str">
        <x:v>1 无症状AAA</x:v>
      </x:c>
      <x:c r="C10" s="53" t="str">
        <x:v>小AAA随访复查</x:v>
      </x:c>
      <x:c r="D10" s="53" t="str">
        <x:v>小动脉瘤复查|AAA随访|surveillance small AAA</x:v>
      </x:c>
      <x:c r="E10" s="53" t="str">
        <x:v>原生AAA AND 无症状 AND 无新增高危信号</x:v>
      </x:c>
      <x:c r="F10" s="53" t="str">
        <x:v>EVAR/OSR术后随访需转第7类</x:v>
      </x:c>
      <x:c r="G10" s="60" t="str">
        <x:v>指南模式</x:v>
      </x:c>
      <x:c r="H10" s="53" t="str">
        <x:v>发现破裂/疑似破裂、休克、活动性大出血、急性缺血或急性病情恶化→急诊优先</x:v>
      </x:c>
      <x:c r="I10" s="53" t="str">
        <x:v>复杂解剖/严重合并症/资料冲突/治疗史复杂→复杂</x:v>
      </x:c>
      <x:c r="J10" s="53" t="str">
        <x:v>B 影像量化器＋A 指南引擎</x:v>
      </x:c>
      <x:c r="K10" s="53" t="str">
        <x:v>§4.1–4.3</x:v>
      </x:c>
      <x:c r="L10" s="53" t="str">
        <x:v>指南病种＋工程路由</x:v>
      </x:c>
      <x:c r="M10" s="53" t="str">
        <x:v>需区分术前监测和术后随访</x:v>
      </x:c>
      <x:c r="N10" s="58" t="str">
        <x:v>待临床审核</x:v>
      </x:c>
      <x:c r="O10" s="53" t="str">
        <x:v>https://doi.org/10.1016/j.ejvs.2023.11.002</x:v>
      </x:c>
    </x:row>
    <x:row r="11" ht="49" customHeight="1">
      <x:c r="A11" s="53" t="str">
        <x:v>R007</x:v>
      </x:c>
      <x:c r="B11" s="53" t="str">
        <x:v>1 无症状AAA</x:v>
      </x:c>
      <x:c r="C11" s="53" t="str">
        <x:v>瘤颈标准但直径待补</x:v>
      </x:c>
      <x:c r="D11" s="53" t="str">
        <x:v>无症状肾下型AAA|asymptomatic infrarenal AAA</x:v>
      </x:c>
      <x:c r="E11" s="53" t="str">
        <x:v>确诊无症状AAA；直径、性别、治疗史至少部分缺失</x:v>
      </x:c>
      <x:c r="F11" s="53" t="str">
        <x:v>无任何诊断证据，仅检索性词句</x:v>
      </x:c>
      <x:c r="G11" s="62" t="str">
        <x:v>复杂模式</x:v>
      </x:c>
      <x:c r="H11" s="53" t="str">
        <x:v>发现破裂/疑似破裂、休克、活动性大出血、急性缺血或急性病情恶化→急诊优先</x:v>
      </x:c>
      <x:c r="I11" s="53" t="str">
        <x:v>缺失关键分层字段→默认复杂+人工复核</x:v>
      </x:c>
      <x:c r="J11" s="53" t="str">
        <x:v>A 指南引擎＋B 影像量化器＋C 解剖评分器＋D 记忆检索器＋E 风险评估器</x:v>
      </x:c>
      <x:c r="K11" s="53" t="str">
        <x:v>§4–5</x:v>
      </x:c>
      <x:c r="L11" s="53" t="str">
        <x:v>工程安全兜底</x:v>
      </x:c>
      <x:c r="M11" s="53" t="str">
        <x:v>缺失信息不是直接进入指南模式；置信度×0.5</x:v>
      </x:c>
      <x:c r="N11" s="58" t="str">
        <x:v>待临床审核</x:v>
      </x:c>
      <x:c r="O11" s="53" t="str">
        <x:v>https://doi.org/10.1016/j.ejvs.2023.11.002</x:v>
      </x:c>
    </x:row>
    <x:row r="12" ht="49" customHeight="1">
      <x:c r="A12" s="53" t="str">
        <x:v>R008</x:v>
      </x:c>
      <x:c r="B12" s="53" t="str">
        <x:v>1 无症状AAA</x:v>
      </x:c>
      <x:c r="C12" s="53" t="str">
        <x:v>瘤体非标准形态的无症状AAA</x:v>
      </x:c>
      <x:c r="D12" s="53" t="str">
        <x:v>非典型形态AAA|不规则形态瘤|irregular AAA morphology</x:v>
      </x:c>
      <x:c r="E12" s="53" t="str">
        <x:v>需确认确实存在影像异常并描述具体特征</x:v>
      </x:c>
      <x:c r="F12" s="53" t="str">
        <x:v>仅影像报告提到‘形态规则’</x:v>
      </x:c>
      <x:c r="G12" s="62" t="str">
        <x:v>复杂模式</x:v>
      </x:c>
      <x:c r="H12" s="53" t="str">
        <x:v>发现破裂/疑似破裂、休克、活动性大出血、急性缺血或急性病情恶化→急诊优先</x:v>
      </x:c>
      <x:c r="I12" s="53" t="str">
        <x:v>优先特殊病变归类（囊状/假性/感染/局部夹层）</x:v>
      </x:c>
      <x:c r="J12" s="53" t="str">
        <x:v>A 指南引擎＋B 影像量化器＋C 解剖评分器＋D 记忆检索器＋E 风险评估器</x:v>
      </x:c>
      <x:c r="K12" s="53" t="str">
        <x:v>§10.1–10.3</x:v>
      </x:c>
      <x:c r="L12" s="53" t="str">
        <x:v>指南病种＋工程路由</x:v>
      </x:c>
      <x:c r="M12" s="53" t="str">
        <x:v>形态异常独立于直径阈值</x:v>
      </x:c>
      <x:c r="N12" s="58" t="str">
        <x:v>待临床审核</x:v>
      </x:c>
      <x:c r="O12" s="53" t="str">
        <x:v>https://doi.org/10.1016/j.ejvs.2023.11.002</x:v>
      </x:c>
    </x:row>
    <x:row r="13" ht="49" customHeight="1">
      <x:c r="A13" s="53" t="str">
        <x:v>R009</x:v>
      </x:c>
      <x:c r="B13" s="53" t="str">
        <x:v>2 症状性未破裂AAA</x:v>
      </x:c>
      <x:c r="C13" s="53" t="str">
        <x:v>AAA相关新发腹痛</x:v>
      </x:c>
      <x:c r="D13" s="53" t="str">
        <x:v>症状性腹主动脉瘤|AAA相关腹痛|symptomatic AAA|new abdominal pain AAA</x:v>
      </x:c>
      <x:c r="E13" s="53" t="str">
        <x:v>AAA存在 AND 医生判断疼痛可能与AAA有关；破裂尚未证实</x:v>
      </x:c>
      <x:c r="F13" s="53" t="str">
        <x:v>非AAA原因明确的慢性腹痛；仅病历否认腹痛</x:v>
      </x:c>
      <x:c r="G13" s="64" t="str">
        <x:v>急诊模式</x:v>
      </x:c>
      <x:c r="H13" s="53" t="str">
        <x:v>本项直接进入急诊</x:v>
      </x:c>
      <x:c r="I13" s="53" t="str">
        <x:v>有并发症/术后/复杂解剖须同步记录</x:v>
      </x:c>
      <x:c r="J13" s="53" t="str">
        <x:v>启动急诊应急预案；暂缓常规工具调度（急诊专属工具未在原图指定）</x:v>
      </x:c>
      <x:c r="K13" s="53" t="str">
        <x:v>§6.5; Rec 85</x:v>
      </x:c>
      <x:c r="L13" s="53" t="str">
        <x:v>指南病种＋工程路由</x:v>
      </x:c>
      <x:c r="M13" s="53" t="str">
        <x:v>急诊模式指立即评估，不意味着稳定患者必定立即手术</x:v>
      </x:c>
      <x:c r="N13" s="58" t="str">
        <x:v>待临床审核</x:v>
      </x:c>
      <x:c r="O13" s="53" t="str">
        <x:v>https://doi.org/10.1016/j.ejvs.2023.11.002</x:v>
      </x:c>
    </x:row>
    <x:row r="14" ht="49" customHeight="1">
      <x:c r="A14" s="53" t="str">
        <x:v>R010</x:v>
      </x:c>
      <x:c r="B14" s="53" t="str">
        <x:v>2 症状性未破裂AAA</x:v>
      </x:c>
      <x:c r="C14" s="53" t="str">
        <x:v>AAA相关腰背痛</x:v>
      </x:c>
      <x:c r="D14" s="53" t="str">
        <x:v>AAA相关背痛|腰背痛伴AAA|back pain with AAA</x:v>
      </x:c>
      <x:c r="E14" s="53" t="str">
        <x:v>新发/进行性疼痛 AND AAA可能为原因</x:v>
      </x:c>
      <x:c r="F14" s="53" t="str">
        <x:v>既往长期腰痛明确其他病因；否认背痛</x:v>
      </x:c>
      <x:c r="G14" s="64" t="str">
        <x:v>急诊模式</x:v>
      </x:c>
      <x:c r="H14" s="53" t="str">
        <x:v>本项直接进入急诊</x:v>
      </x:c>
      <x:c r="I14" s="53" t="str">
        <x:v>CTA排查破裂/渗漏</x:v>
      </x:c>
      <x:c r="J14" s="53" t="str">
        <x:v>启动急诊应急预案；暂缓常规工具调度（急诊专属工具未在原图指定）</x:v>
      </x:c>
      <x:c r="K14" s="53" t="str">
        <x:v>§6.5</x:v>
      </x:c>
      <x:c r="L14" s="53" t="str">
        <x:v>指南病种＋工程路由</x:v>
      </x:c>
      <x:c r="M14" s="53" t="str">
        <x:v>症状归因必须核实</x:v>
      </x:c>
      <x:c r="N14" s="58" t="str">
        <x:v>待临床审核</x:v>
      </x:c>
      <x:c r="O14" s="53" t="str">
        <x:v>https://doi.org/10.1016/j.ejvs.2023.11.002</x:v>
      </x:c>
    </x:row>
    <x:row r="15" ht="49" customHeight="1">
      <x:c r="A15" s="53" t="str">
        <x:v>R011</x:v>
      </x:c>
      <x:c r="B15" s="53" t="str">
        <x:v>2 症状性未破裂AAA</x:v>
      </x:c>
      <x:c r="C15" s="53" t="str">
        <x:v>触痛或压痛性AAA</x:v>
      </x:c>
      <x:c r="D15" s="53" t="str">
        <x:v>动脉瘤压痛|搏动性肿块压痛|tender AAA</x:v>
      </x:c>
      <x:c r="E15" s="53" t="str">
        <x:v>临床检查明确AAA区触痛/压痛</x:v>
      </x:c>
      <x:c r="F15" s="53" t="str">
        <x:v>未确证体征或否认压痛</x:v>
      </x:c>
      <x:c r="G15" s="64" t="str">
        <x:v>急诊模式</x:v>
      </x:c>
      <x:c r="H15" s="53" t="str">
        <x:v>本项直接进入急诊</x:v>
      </x:c>
      <x:c r="I15" s="53" t="str">
        <x:v>若疑似破裂加急</x:v>
      </x:c>
      <x:c r="J15" s="53" t="str">
        <x:v>启动急诊应急预案；暂缓常规工具调度（急诊专属工具未在原图指定）</x:v>
      </x:c>
      <x:c r="K15" s="53" t="str">
        <x:v>§6.5</x:v>
      </x:c>
      <x:c r="L15" s="53" t="str">
        <x:v>指南病种＋工程路由</x:v>
      </x:c>
      <x:c r="M15" s="53" t="str">
        <x:v>症状性AAA表现之一</x:v>
      </x:c>
      <x:c r="N15" s="58" t="str">
        <x:v>待临床审核</x:v>
      </x:c>
      <x:c r="O15" s="53" t="str">
        <x:v>https://doi.org/10.1016/j.ejvs.2023.11.002</x:v>
      </x:c>
    </x:row>
    <x:row r="16" ht="49" customHeight="1">
      <x:c r="A16" s="53" t="str">
        <x:v>R012</x:v>
      </x:c>
      <x:c r="B16" s="53" t="str">
        <x:v>2 症状性未破裂AAA</x:v>
      </x:c>
      <x:c r="C16" s="53" t="str">
        <x:v>AAA相关远端栓塞</x:v>
      </x:c>
      <x:c r="D16" s="53" t="str">
        <x:v>蓝趾综合征|远端栓塞伴AAA|blue toe syndrome|distal embolization AAA</x:v>
      </x:c>
      <x:c r="E16" s="53" t="str">
        <x:v>AAA可能为栓子来源或已有临床判断</x:v>
      </x:c>
      <x:c r="F16" s="53" t="str">
        <x:v>蓝趾由其他明确来源造成</x:v>
      </x:c>
      <x:c r="G16" s="64" t="str">
        <x:v>急诊模式</x:v>
      </x:c>
      <x:c r="H16" s="53" t="str">
        <x:v>合并急性肢体缺血立即急诊</x:v>
      </x:c>
      <x:c r="I16" s="53" t="str">
        <x:v>需评估其他栓塞来源</x:v>
      </x:c>
      <x:c r="J16" s="53" t="str">
        <x:v>启动急诊应急预案；暂缓常规工具调度（急诊专属工具未在原图指定）</x:v>
      </x:c>
      <x:c r="K16" s="53" t="str">
        <x:v>§6.5</x:v>
      </x:c>
      <x:c r="L16" s="53" t="str">
        <x:v>指南病种＋工程路由</x:v>
      </x:c>
      <x:c r="M16" s="53" t="str">
        <x:v>蓝趾可见于其他疾病，不能单凭蓝趾确诊AAA</x:v>
      </x:c>
      <x:c r="N16" s="58" t="str">
        <x:v>待临床审核</x:v>
      </x:c>
      <x:c r="O16" s="53" t="str">
        <x:v>https://doi.org/10.1016/j.ejvs.2023.11.002</x:v>
      </x:c>
    </x:row>
    <x:row r="17" ht="49" customHeight="1">
      <x:c r="A17" s="53" t="str">
        <x:v>R013</x:v>
      </x:c>
      <x:c r="B17" s="53" t="str">
        <x:v>2 症状性未破裂AAA</x:v>
      </x:c>
      <x:c r="C17" s="53" t="str">
        <x:v>AAA相关压迫症状</x:v>
      </x:c>
      <x:c r="D17" s="53" t="str">
        <x:v>动脉瘤压迫输尿管|AAA占位压迫|AAA compressive symptoms</x:v>
      </x:c>
      <x:c r="E17" s="53" t="str">
        <x:v>确有受压器官与AAA的影像/临床关联</x:v>
      </x:c>
      <x:c r="F17" s="53" t="str">
        <x:v>压迫来自肿瘤、其他占位等明确原因</x:v>
      </x:c>
      <x:c r="G17" s="64" t="str">
        <x:v>急诊模式</x:v>
      </x:c>
      <x:c r="H17" s="53" t="str">
        <x:v>急性肾衰/急性器官缺血伴病情恶化优先急诊</x:v>
      </x:c>
      <x:c r="I17" s="53" t="str">
        <x:v>炎症性AAA等特殊病因另加复杂标签</x:v>
      </x:c>
      <x:c r="J17" s="53" t="str">
        <x:v>启动急诊应急预案；暂缓常规工具调度（急诊专属工具未在原图指定）</x:v>
      </x:c>
      <x:c r="K17" s="53" t="str">
        <x:v>§6.5; §10.2</x:v>
      </x:c>
      <x:c r="L17" s="53" t="str">
        <x:v>指南病种＋工程路由</x:v>
      </x:c>
      <x:c r="M17" s="53" t="str">
        <x:v>工程上按症状性AAA进入急诊评估</x:v>
      </x:c>
      <x:c r="N17" s="58" t="str">
        <x:v>待临床审核</x:v>
      </x:c>
      <x:c r="O17" s="53" t="str">
        <x:v>https://doi.org/10.1016/j.ejvs.2023.11.002</x:v>
      </x:c>
    </x:row>
    <x:row r="18" ht="49" customHeight="1">
      <x:c r="A18" s="53" t="str">
        <x:v>R014</x:v>
      </x:c>
      <x:c r="B18" s="53" t="str">
        <x:v>2 症状性未破裂AAA</x:v>
      </x:c>
      <x:c r="C18" s="53" t="str">
        <x:v>伴急性下肢缺血的AAA</x:v>
      </x:c>
      <x:c r="D18" s="53" t="str">
        <x:v>急性下肢缺血伴AAA|AAA distal acute ischemia|acute limb ischemia AAA</x:v>
      </x:c>
      <x:c r="E18" s="53" t="str">
        <x:v>急性肢体缺血客观征象或临床高度怀疑</x:v>
      </x:c>
      <x:c r="F18" s="53" t="str">
        <x:v>慢性间歇性跛行但无急性缺血</x:v>
      </x:c>
      <x:c r="G18" s="64" t="str">
        <x:v>急诊模式</x:v>
      </x:c>
      <x:c r="H18" s="53" t="str">
        <x:v>直接急诊</x:v>
      </x:c>
      <x:c r="I18" s="53" t="str">
        <x:v>识别急性栓塞、肢体威胁程度</x:v>
      </x:c>
      <x:c r="J18" s="53" t="str">
        <x:v>启动急诊应急预案；暂缓常规工具调度（急诊专属工具未在原图指定）</x:v>
      </x:c>
      <x:c r="K18" s="53" t="str">
        <x:v>§6.5; §6.4.3</x:v>
      </x:c>
      <x:c r="L18" s="53" t="str">
        <x:v>指南病种＋工程路由</x:v>
      </x:c>
      <x:c r="M18" s="53" t="str">
        <x:v>优先处理急性缺血</x:v>
      </x:c>
      <x:c r="N18" s="58" t="str">
        <x:v>待临床审核</x:v>
      </x:c>
      <x:c r="O18" s="53" t="str">
        <x:v>https://doi.org/10.1016/j.ejvs.2023.11.002</x:v>
      </x:c>
    </x:row>
    <x:row r="19" ht="49" customHeight="1">
      <x:c r="A19" s="53" t="str">
        <x:v>R015</x:v>
      </x:c>
      <x:c r="B19" s="53" t="str">
        <x:v>2 症状性未破裂AAA</x:v>
      </x:c>
      <x:c r="C19" s="53" t="str">
        <x:v>稳定症状性未破裂AAA</x:v>
      </x:c>
      <x:c r="D19" s="53" t="str">
        <x:v>稳定症状性AAA|稳定未破裂症状性AAA|stable symptomatic intact AAA</x:v>
      </x:c>
      <x:c r="E19" s="53" t="str">
        <x:v>症状被认为来自AAA AND 目前血流动力学稳定 AND 暂无证实破裂</x:v>
      </x:c>
      <x:c r="F19" s="53" t="str">
        <x:v>既往既发症状目前完全无关；‘排除症状性’</x:v>
      </x:c>
      <x:c r="G19" s="64" t="str">
        <x:v>急诊模式</x:v>
      </x:c>
      <x:c r="H19" s="53" t="str">
        <x:v>仍走急诊路径（可快速评估优化）</x:v>
      </x:c>
      <x:c r="I19" s="53" t="str">
        <x:v>病情恶化按破裂路径</x:v>
      </x:c>
      <x:c r="J19" s="53" t="str">
        <x:v>启动急诊应急预案；暂缓常规工具调度（急诊专属工具未在原图指定）</x:v>
      </x:c>
      <x:c r="K19" s="53" t="str">
        <x:v>§6.5; Rec 85</x:v>
      </x:c>
      <x:c r="L19" s="53" t="str">
        <x:v>指南病种＋工程路由</x:v>
      </x:c>
      <x:c r="M19" s="53" t="str">
        <x:v>允许短暂快速评估与优化，不能误标常规择期</x:v>
      </x:c>
      <x:c r="N19" s="58" t="str">
        <x:v>待临床审核</x:v>
      </x:c>
      <x:c r="O19" s="53" t="str">
        <x:v>https://doi.org/10.1016/j.ejvs.2023.11.002</x:v>
      </x:c>
    </x:row>
    <x:row r="20" ht="49" customHeight="1">
      <x:c r="A20" s="53" t="str">
        <x:v>R016</x:v>
      </x:c>
      <x:c r="B20" s="53" t="str">
        <x:v>2 症状性未破裂AAA</x:v>
      </x:c>
      <x:c r="C20" s="53" t="str">
        <x:v>原因尚未明确的AAA伴疼痛</x:v>
      </x:c>
      <x:c r="D20" s="53" t="str">
        <x:v>AAA伴腹痛待查|AAA伴腰痛待查|AAA with unexplained pain</x:v>
      </x:c>
      <x:c r="E20" s="53" t="str">
        <x:v>当前疼痛且AAA已存在，但尚未完成原因排查</x:v>
      </x:c>
      <x:c r="F20" s="53" t="str">
        <x:v>明确是慢性非动脉瘤病因</x:v>
      </x:c>
      <x:c r="G20" s="64" t="str">
        <x:v>急诊模式</x:v>
      </x:c>
      <x:c r="H20" s="53" t="str">
        <x:v>视为疑似相关，先及时排查危险病因</x:v>
      </x:c>
      <x:c r="I20" s="53" t="str">
        <x:v>明确无关联后按基础病种重新路由</x:v>
      </x:c>
      <x:c r="J20" s="53" t="str">
        <x:v>启动急诊应急预案；暂缓常规工具调度（急诊专属工具未在原图指定）</x:v>
      </x:c>
      <x:c r="K20" s="53" t="str">
        <x:v>§6.5</x:v>
      </x:c>
      <x:c r="L20" s="53" t="str">
        <x:v>指南病种＋工程路由</x:v>
      </x:c>
      <x:c r="M20" s="53" t="str">
        <x:v>急诊触发是安全分流，不等于认定症状归因</x:v>
      </x:c>
      <x:c r="N20" s="58" t="str">
        <x:v>待临床审核</x:v>
      </x:c>
      <x:c r="O20" s="53" t="str">
        <x:v>https://doi.org/10.1016/j.ejvs.2023.11.002</x:v>
      </x:c>
    </x:row>
    <x:row r="21" ht="49" customHeight="1">
      <x:c r="A21" s="53" t="str">
        <x:v>R017</x:v>
      </x:c>
      <x:c r="B21" s="53" t="str">
        <x:v>3 破裂或疑似破裂</x:v>
      </x:c>
      <x:c r="C21" s="53" t="str">
        <x:v>影像确诊破裂AAA</x:v>
      </x:c>
      <x:c r="D21" s="53" t="str">
        <x:v>破裂性腹主动脉瘤|rAAA|ruptured AAA|主动脉瘤破裂</x:v>
      </x:c>
      <x:c r="E21" s="53" t="str">
        <x:v>当前影像或临床确认为破裂</x:v>
      </x:c>
      <x:c r="F21" s="53" t="str">
        <x:v>‘未破裂’‘排除破裂’‘无破裂征象’或既往已修复的历史描述</x:v>
      </x:c>
      <x:c r="G21" s="64" t="str">
        <x:v>急诊模式</x:v>
      </x:c>
      <x:c r="H21" s="53" t="str">
        <x:v>直接急诊</x:v>
      </x:c>
      <x:c r="I21" s="53" t="str">
        <x:v>其他复杂标签不降低优先级</x:v>
      </x:c>
      <x:c r="J21" s="53" t="str">
        <x:v>启动急诊应急预案；暂缓常规工具调度（急诊专属工具未在原图指定）</x:v>
      </x:c>
      <x:c r="K21" s="53" t="str">
        <x:v>§6.1–6.4</x:v>
      </x:c>
      <x:c r="L21" s="53" t="str">
        <x:v>指南病种＋工程路由</x:v>
      </x:c>
      <x:c r="M21" s="53" t="str">
        <x:v>优先级最高</x:v>
      </x:c>
      <x:c r="N21" s="58" t="str">
        <x:v>待临床审核</x:v>
      </x:c>
      <x:c r="O21" s="53" t="str">
        <x:v>https://doi.org/10.1016/j.ejvs.2023.11.002</x:v>
      </x:c>
    </x:row>
    <x:row r="22" ht="49" customHeight="1">
      <x:c r="A22" s="53" t="str">
        <x:v>R018</x:v>
      </x:c>
      <x:c r="B22" s="53" t="str">
        <x:v>3 破裂或疑似破裂</x:v>
      </x:c>
      <x:c r="C22" s="53" t="str">
        <x:v>疑似破裂AAA</x:v>
      </x:c>
      <x:c r="D22" s="53" t="str">
        <x:v>疑似破裂|高度怀疑破裂|suspected AAA rupture|破裂待排</x:v>
      </x:c>
      <x:c r="E22" s="53" t="str">
        <x:v>急性症状/影像红旗，临床不能排除破裂</x:v>
      </x:c>
      <x:c r="F22" s="53" t="str">
        <x:v>常规超声随访且明确无急性异常</x:v>
      </x:c>
      <x:c r="G22" s="64" t="str">
        <x:v>急诊模式</x:v>
      </x:c>
      <x:c r="H22" s="53" t="str">
        <x:v>直接急诊</x:v>
      </x:c>
      <x:c r="I22" s="53" t="str">
        <x:v>仍需影像/临床确认</x:v>
      </x:c>
      <x:c r="J22" s="53" t="str">
        <x:v>启动急诊应急预案；暂缓常规工具调度（急诊专属工具未在原图指定）</x:v>
      </x:c>
      <x:c r="K22" s="53" t="str">
        <x:v>§6.1</x:v>
      </x:c>
      <x:c r="L22" s="53" t="str">
        <x:v>指南病种＋工程路由</x:v>
      </x:c>
      <x:c r="M22" s="53" t="str">
        <x:v>不等待确诊再启动急诊分流</x:v>
      </x:c>
      <x:c r="N22" s="58" t="str">
        <x:v>待临床审核</x:v>
      </x:c>
      <x:c r="O22" s="53" t="str">
        <x:v>https://doi.org/10.1016/j.ejvs.2023.11.002</x:v>
      </x:c>
    </x:row>
    <x:row r="23" ht="49" customHeight="1">
      <x:c r="A23" s="53" t="str">
        <x:v>R019</x:v>
      </x:c>
      <x:c r="B23" s="53" t="str">
        <x:v>3 破裂或疑似破裂</x:v>
      </x:c>
      <x:c r="C23" s="53" t="str">
        <x:v>自由破裂</x:v>
      </x:c>
      <x:c r="D23" s="53" t="str">
        <x:v>自由破裂|游离破裂|free rupture|intraperitoneal rupture</x:v>
      </x:c>
      <x:c r="E23" s="53" t="str">
        <x:v>诊断提示动脉瘤破裂且出血不受限制</x:v>
      </x:c>
      <x:c r="F23" s="53" t="str">
        <x:v>报告否认游离破裂</x:v>
      </x:c>
      <x:c r="G23" s="64" t="str">
        <x:v>急诊模式</x:v>
      </x:c>
      <x:c r="H23" s="53" t="str">
        <x:v>直接急诊</x:v>
      </x:c>
      <x:c r="I23" s="53" t="str">
        <x:v>可同时标记腹膜后/腹腔出血</x:v>
      </x:c>
      <x:c r="J23" s="53" t="str">
        <x:v>启动急诊应急预案；暂缓常规工具调度（急诊专属工具未在原图指定）</x:v>
      </x:c>
      <x:c r="K23" s="53" t="str">
        <x:v>§6.1–6.4</x:v>
      </x:c>
      <x:c r="L23" s="53" t="str">
        <x:v>指南病种＋工程路由</x:v>
      </x:c>
      <x:c r="M23" s="53" t="str">
        <x:v>破裂形态子类</x:v>
      </x:c>
      <x:c r="N23" s="58" t="str">
        <x:v>待临床审核</x:v>
      </x:c>
      <x:c r="O23" s="53" t="str">
        <x:v>https://doi.org/10.1016/j.ejvs.2023.11.002</x:v>
      </x:c>
    </x:row>
    <x:row r="24" ht="49" customHeight="1">
      <x:c r="A24" s="53" t="str">
        <x:v>R020</x:v>
      </x:c>
      <x:c r="B24" s="53" t="str">
        <x:v>3 破裂或疑似破裂</x:v>
      </x:c>
      <x:c r="C24" s="53" t="str">
        <x:v>包裹性/局限性破裂</x:v>
      </x:c>
      <x:c r="D24" s="53" t="str">
        <x:v>包裹性破裂|局限性破裂|contained rupture|sealed rupture</x:v>
      </x:c>
      <x:c r="E24" s="53" t="str">
        <x:v>临床/影像明确相应破裂形态</x:v>
      </x:c>
      <x:c r="F24" s="53" t="str">
        <x:v>描述是未破裂瘤腔内血栓</x:v>
      </x:c>
      <x:c r="G24" s="64" t="str">
        <x:v>急诊模式</x:v>
      </x:c>
      <x:c r="H24" s="53" t="str">
        <x:v>直接急诊</x:v>
      </x:c>
      <x:c r="I24" s="53" t="str">
        <x:v>稳定不等于常规择期</x:v>
      </x:c>
      <x:c r="J24" s="53" t="str">
        <x:v>启动急诊应急预案；暂缓常规工具调度（急诊专属工具未在原图指定）</x:v>
      </x:c>
      <x:c r="K24" s="53" t="str">
        <x:v>§6.1–6.4</x:v>
      </x:c>
      <x:c r="L24" s="53" t="str">
        <x:v>指南病种＋工程路由</x:v>
      </x:c>
      <x:c r="M24" s="53" t="str">
        <x:v>破裂形态子类</x:v>
      </x:c>
      <x:c r="N24" s="58" t="str">
        <x:v>待临床审核</x:v>
      </x:c>
      <x:c r="O24" s="53" t="str">
        <x:v>https://doi.org/10.1016/j.ejvs.2023.11.002</x:v>
      </x:c>
    </x:row>
    <x:row r="25" ht="49" customHeight="1">
      <x:c r="A25" s="53" t="str">
        <x:v>R021</x:v>
      </x:c>
      <x:c r="B25" s="53" t="str">
        <x:v>3 破裂或疑似破裂</x:v>
      </x:c>
      <x:c r="C25" s="53" t="str">
        <x:v>腹膜后血肿与AAA相关</x:v>
      </x:c>
      <x:c r="D25" s="53" t="str">
        <x:v>AAA伴腹膜后血肿|retroperitoneal hematoma from AAA|动脉瘤周围出血</x:v>
      </x:c>
      <x:c r="E25" s="53" t="str">
        <x:v>AAA且血肿来源被认为来自主动脉</x:v>
      </x:c>
      <x:c r="F25" s="53" t="str">
        <x:v>术后正常少量渗出或其他明确血肿来源</x:v>
      </x:c>
      <x:c r="G25" s="64" t="str">
        <x:v>急诊模式</x:v>
      </x:c>
      <x:c r="H25" s="53" t="str">
        <x:v>立即高度怀疑破裂</x:v>
      </x:c>
      <x:c r="I25" s="53" t="str">
        <x:v>若无明确来源需急诊影像/专科复核</x:v>
      </x:c>
      <x:c r="J25" s="53" t="str">
        <x:v>启动急诊应急预案；暂缓常规工具调度（急诊专属工具未在原图指定）</x:v>
      </x:c>
      <x:c r="K25" s="53" t="str">
        <x:v>§6.1</x:v>
      </x:c>
      <x:c r="L25" s="53" t="str">
        <x:v>指南病种＋工程路由</x:v>
      </x:c>
      <x:c r="M25" s="53" t="str">
        <x:v>避免单凭'血肿'触发</x:v>
      </x:c>
      <x:c r="N25" s="58" t="str">
        <x:v>待临床审核</x:v>
      </x:c>
      <x:c r="O25" s="53" t="str">
        <x:v>https://doi.org/10.1016/j.ejvs.2023.11.002</x:v>
      </x:c>
    </x:row>
    <x:row r="26" ht="49" customHeight="1">
      <x:c r="A26" s="53" t="str">
        <x:v>R022</x:v>
      </x:c>
      <x:c r="B26" s="53" t="str">
        <x:v>3 破裂或疑似破裂</x:v>
      </x:c>
      <x:c r="C26" s="53" t="str">
        <x:v>持续或活动性主动脉出血</x:v>
      </x:c>
      <x:c r="D26" s="53" t="str">
        <x:v>主动脉造影剂外渗|active extravasation aorta|主动脉活动性出血</x:v>
      </x:c>
      <x:c r="E26" s="53" t="str">
        <x:v>影像指明来源主动脉或AAA</x:v>
      </x:c>
      <x:c r="F26" s="53" t="str">
        <x:v>其他部位造影剂外渗；否认活动性出血</x:v>
      </x:c>
      <x:c r="G26" s="64" t="str">
        <x:v>急诊模式</x:v>
      </x:c>
      <x:c r="H26" s="53" t="str">
        <x:v>直接急诊</x:v>
      </x:c>
      <x:c r="I26" s="53" t="str">
        <x:v>术后同样优先</x:v>
      </x:c>
      <x:c r="J26" s="53" t="str">
        <x:v>启动急诊应急预案；暂缓常规工具调度（急诊专属工具未在原图指定）</x:v>
      </x:c>
      <x:c r="K26" s="53" t="str">
        <x:v>§6.1; §7.2</x:v>
      </x:c>
      <x:c r="L26" s="53" t="str">
        <x:v>指南病种＋工程路由</x:v>
      </x:c>
      <x:c r="M26" s="53" t="str">
        <x:v>严重红旗</x:v>
      </x:c>
      <x:c r="N26" s="58" t="str">
        <x:v>待临床审核</x:v>
      </x:c>
      <x:c r="O26" s="53" t="str">
        <x:v>https://doi.org/10.1016/j.ejvs.2023.11.002</x:v>
      </x:c>
    </x:row>
    <x:row r="27" ht="49" customHeight="1">
      <x:c r="A27" s="53" t="str">
        <x:v>R023</x:v>
      </x:c>
      <x:c r="B27" s="53" t="str">
        <x:v>3 破裂或疑似破裂</x:v>
      </x:c>
      <x:c r="C27" s="53" t="str">
        <x:v>有破裂警示征象的AAA</x:v>
      </x:c>
      <x:c r="D27" s="53" t="str">
        <x:v>high attenuation crescent|主动脉瘤破裂危险征|瘤壁局部中断</x:v>
      </x:c>
      <x:c r="E27" s="53" t="str">
        <x:v>影像学危险征象明确 + 临床或影像综合判断高度疑似急性破裂风险</x:v>
      </x:c>
      <x:c r="F27" s="53" t="str">
        <x:v>单一非特异征象无临床支持</x:v>
      </x:c>
      <x:c r="G27" s="64" t="str">
        <x:v>急诊模式</x:v>
      </x:c>
      <x:c r="H27" s="53" t="str">
        <x:v>高度疑似立即急诊核查</x:v>
      </x:c>
      <x:c r="I27" s="53" t="str">
        <x:v>可叠加复杂模式标签但急诊优先</x:v>
      </x:c>
      <x:c r="J27" s="53" t="str">
        <x:v>启动急诊应急预案；暂缓常规工具调度（急诊专属工具未在原图指定）</x:v>
      </x:c>
      <x:c r="K27" s="53" t="str">
        <x:v>§6.1</x:v>
      </x:c>
      <x:c r="L27" s="53" t="str">
        <x:v>指南病种＋工程路由</x:v>
      </x:c>
      <x:c r="M27" s="53" t="str">
        <x:v>警示征象不能自动当作确诊破裂</x:v>
      </x:c>
      <x:c r="N27" s="58" t="str">
        <x:v>待临床审核</x:v>
      </x:c>
      <x:c r="O27" s="53" t="str">
        <x:v>https://doi.org/10.1016/j.ejvs.2023.11.002</x:v>
      </x:c>
    </x:row>
    <x:row r="28" ht="49" customHeight="1">
      <x:c r="A28" s="53" t="str">
        <x:v>R024</x:v>
      </x:c>
      <x:c r="B28" s="53" t="str">
        <x:v>3 破裂或疑似破裂</x:v>
      </x:c>
      <x:c r="C28" s="53" t="str">
        <x:v>动脉瘤相关休克</x:v>
      </x:c>
      <x:c r="D28" s="53" t="str">
        <x:v>AAA伴休克|shock with AAA|低血压伴突发腹背痛</x:v>
      </x:c>
      <x:c r="E28" s="53" t="str">
        <x:v>AAA背景＋循环不稳定和疑似出血</x:v>
      </x:c>
      <x:c r="F28" s="53" t="str">
        <x:v>另有明确休克原因且已排除主动脉急症</x:v>
      </x:c>
      <x:c r="G28" s="64" t="str">
        <x:v>急诊模式</x:v>
      </x:c>
      <x:c r="H28" s="53" t="str">
        <x:v>直接急诊</x:v>
      </x:c>
      <x:c r="I28" s="53" t="str">
        <x:v>需确认休克病因和优先稳定生命体征</x:v>
      </x:c>
      <x:c r="J28" s="53" t="str">
        <x:v>启动急诊应急预案；暂缓常规工具调度（急诊专属工具未在原图指定）</x:v>
      </x:c>
      <x:c r="K28" s="53" t="str">
        <x:v>§6.1–6.2</x:v>
      </x:c>
      <x:c r="L28" s="53" t="str">
        <x:v>指南病种＋工程路由</x:v>
      </x:c>
      <x:c r="M28" s="53" t="str">
        <x:v>不能仅根据低血压诊断破裂</x:v>
      </x:c>
      <x:c r="N28" s="58" t="str">
        <x:v>待临床审核</x:v>
      </x:c>
      <x:c r="O28" s="53" t="str">
        <x:v>https://doi.org/10.1016/j.ejvs.2023.11.002</x:v>
      </x:c>
    </x:row>
    <x:row r="29" ht="49" customHeight="1">
      <x:c r="A29" s="53" t="str">
        <x:v>R025</x:v>
      </x:c>
      <x:c r="B29" s="53" t="str">
        <x:v>3 破裂或疑似破裂</x:v>
      </x:c>
      <x:c r="C29" s="53" t="str">
        <x:v>破裂伴主动脉下腔静脉瘘</x:v>
      </x:c>
      <x:c r="D29" s="53" t="str">
        <x:v>破裂伴腔静脉瘘|ruptured aortocaval fistula</x:v>
      </x:c>
      <x:c r="E29" s="53" t="str">
        <x:v>确有主动脉-下腔静脉瘘并疑似急性破裂/失代偿</x:v>
      </x:c>
      <x:c r="F29" s="53" t="str">
        <x:v>单纯静脉扩张无瘘证据</x:v>
      </x:c>
      <x:c r="G29" s="64" t="str">
        <x:v>急诊模式</x:v>
      </x:c>
      <x:c r="H29" s="53" t="str">
        <x:v>直接急诊</x:v>
      </x:c>
      <x:c r="I29" s="53" t="str">
        <x:v>第5类保留瘘标签</x:v>
      </x:c>
      <x:c r="J29" s="53" t="str">
        <x:v>启动急诊应急预案；暂缓常规工具调度（急诊专属工具未在原图指定）</x:v>
      </x:c>
      <x:c r="K29" s="53" t="str">
        <x:v>§6.1.2</x:v>
      </x:c>
      <x:c r="L29" s="53" t="str">
        <x:v>指南病种＋工程路由</x:v>
      </x:c>
      <x:c r="M29" s="53" t="str">
        <x:v>原发瘘和破裂状态可并存</x:v>
      </x:c>
      <x:c r="N29" s="58" t="str">
        <x:v>待临床审核</x:v>
      </x:c>
      <x:c r="O29" s="53" t="str">
        <x:v>https://doi.org/10.1016/j.ejvs.2023.11.002</x:v>
      </x:c>
    </x:row>
    <x:row r="30" ht="49" customHeight="1">
      <x:c r="A30" s="53" t="str">
        <x:v>R026</x:v>
      </x:c>
      <x:c r="B30" s="53" t="str">
        <x:v>3 破裂或疑似破裂</x:v>
      </x:c>
      <x:c r="C30" s="53" t="str">
        <x:v>复杂AAA破裂</x:v>
      </x:c>
      <x:c r="D30" s="53" t="str">
        <x:v>破裂近肾AAA|ruptured complex AAA|ruptured juxtarenal AAA</x:v>
      </x:c>
      <x:c r="E30" s="53" t="str">
        <x:v>破裂 AND 近肾/旁肾/近内脏解剖</x:v>
      </x:c>
      <x:c r="F30" s="53" t="str">
        <x:v>未破裂复杂AAA</x:v>
      </x:c>
      <x:c r="G30" s="64" t="str">
        <x:v>急诊模式</x:v>
      </x:c>
      <x:c r="H30" s="53" t="str">
        <x:v>直接急诊</x:v>
      </x:c>
      <x:c r="I30" s="53" t="str">
        <x:v>复杂解剖为并行标签</x:v>
      </x:c>
      <x:c r="J30" s="53" t="str">
        <x:v>启动急诊应急预案；暂缓常规工具调度（急诊专属工具未在原图指定）</x:v>
      </x:c>
      <x:c r="K30" s="53" t="str">
        <x:v>§8.5</x:v>
      </x:c>
      <x:c r="L30" s="53" t="str">
        <x:v>指南病种＋工程路由</x:v>
      </x:c>
      <x:c r="M30" s="53" t="str">
        <x:v>复杂不得覆盖急诊</x:v>
      </x:c>
      <x:c r="N30" s="58" t="str">
        <x:v>待临床审核</x:v>
      </x:c>
      <x:c r="O30" s="53" t="str">
        <x:v>https://doi.org/10.1016/j.ejvs.2023.11.002</x:v>
      </x:c>
    </x:row>
    <x:row r="31" ht="49" customHeight="1">
      <x:c r="A31" s="53" t="str">
        <x:v>R027</x:v>
      </x:c>
      <x:c r="B31" s="53" t="str">
        <x:v>3 破裂或疑似破裂</x:v>
      </x:c>
      <x:c r="C31" s="53" t="str">
        <x:v>术后再次破裂</x:v>
      </x:c>
      <x:c r="D31" s="53" t="str">
        <x:v>EVAR术后破裂|post-EVAR rupture|术后主动脉瘤破裂</x:v>
      </x:c>
      <x:c r="E31" s="53" t="str">
        <x:v>有既往修复史 AND 当前破裂</x:v>
      </x:c>
      <x:c r="F31" s="53" t="str">
        <x:v>仅既往术前破裂历史、目前无新破裂</x:v>
      </x:c>
      <x:c r="G31" s="64" t="str">
        <x:v>急诊模式</x:v>
      </x:c>
      <x:c r="H31" s="53" t="str">
        <x:v>直接急诊</x:v>
      </x:c>
      <x:c r="I31" s="53" t="str">
        <x:v>术后并发症并行标注</x:v>
      </x:c>
      <x:c r="J31" s="53" t="str">
        <x:v>启动急诊应急预案；暂缓常规工具调度（急诊专属工具未在原图指定）</x:v>
      </x:c>
      <x:c r="K31" s="53" t="str">
        <x:v>§7.2; Table 20</x:v>
      </x:c>
      <x:c r="L31" s="53" t="str">
        <x:v>指南病种＋工程路由</x:v>
      </x:c>
      <x:c r="M31" s="53" t="str">
        <x:v>避免因'术后'默认复杂而漏急诊</x:v>
      </x:c>
      <x:c r="N31" s="58" t="str">
        <x:v>待临床审核</x:v>
      </x:c>
      <x:c r="O31" s="53" t="str">
        <x:v>https://doi.org/10.1016/j.ejvs.2023.11.002</x:v>
      </x:c>
    </x:row>
    <x:row r="32" ht="49" customHeight="1">
      <x:c r="A32" s="53" t="str">
        <x:v>R028</x:v>
      </x:c>
      <x:c r="B32" s="53" t="str">
        <x:v>3 破裂或疑似破裂</x:v>
      </x:c>
      <x:c r="C32" s="53" t="str">
        <x:v>破裂性髂动脉瘤</x:v>
      </x:c>
      <x:c r="D32" s="53" t="str">
        <x:v>破裂性髂动脉瘤|ruptured iliac aneurysm|髂瘤破裂</x:v>
      </x:c>
      <x:c r="E32" s="53" t="str">
        <x:v>髂动脉瘤当前破裂/疑似破裂</x:v>
      </x:c>
      <x:c r="F32" s="53" t="str">
        <x:v>仅陈旧病史</x:v>
      </x:c>
      <x:c r="G32" s="64" t="str">
        <x:v>急诊模式</x:v>
      </x:c>
      <x:c r="H32" s="53" t="str">
        <x:v>直接急诊</x:v>
      </x:c>
      <x:c r="I32" s="53" t="str">
        <x:v>第6类并行标注</x:v>
      </x:c>
      <x:c r="J32" s="53" t="str">
        <x:v>启动急诊应急预案；暂缓常规工具调度（急诊专属工具未在原图指定）</x:v>
      </x:c>
      <x:c r="K32" s="53" t="str">
        <x:v>§9</x:v>
      </x:c>
      <x:c r="L32" s="53" t="str">
        <x:v>指南病种＋工程路由</x:v>
      </x:c>
      <x:c r="M32" s="53" t="str">
        <x:v>纳入主动脉-髂动脉范围</x:v>
      </x:c>
      <x:c r="N32" s="58" t="str">
        <x:v>待临床审核</x:v>
      </x:c>
      <x:c r="O32" s="53" t="str">
        <x:v>https://doi.org/10.1016/j.ejvs.2023.11.002</x:v>
      </x:c>
    </x:row>
    <x:row r="33" ht="49" customHeight="1">
      <x:c r="A33" s="53" t="str">
        <x:v>R029</x:v>
      </x:c>
      <x:c r="B33" s="53" t="str">
        <x:v>4 感染性腹主动脉病</x:v>
      </x:c>
      <x:c r="C33" s="53" t="str">
        <x:v>原生主动脉感染性动脉瘤</x:v>
      </x:c>
      <x:c r="D33" s="53" t="str">
        <x:v>感染性腹主动脉瘤|mycotic abdominal aortic aneurysm|infected native AAA</x:v>
      </x:c>
      <x:c r="E33" s="53" t="str">
        <x:v>尚未置入移植物或当前确认原生主动脉病变；感染证据+影像/临床支持</x:v>
      </x:c>
      <x:c r="F33" s="53" t="str">
        <x:v>仅发热或仅菌血症；仅术后感染无需混称原生瘤</x:v>
      </x:c>
      <x:c r="G33" s="62" t="str">
        <x:v>复杂模式</x:v>
      </x:c>
      <x:c r="H33" s="53" t="str">
        <x:v>破裂/出血/休克/急性脓毒症不稳定→急诊</x:v>
      </x:c>
      <x:c r="I33" s="53" t="str">
        <x:v>原生感染性病种默认复杂</x:v>
      </x:c>
      <x:c r="J33" s="53" t="str">
        <x:v>A 指南引擎＋B 影像量化器＋C 解剖评分器＋D 记忆检索器＋E 风险评估器</x:v>
      </x:c>
      <x:c r="K33" s="53" t="str">
        <x:v>§10.1</x:v>
      </x:c>
      <x:c r="L33" s="53" t="str">
        <x:v>指南病种＋工程路由</x:v>
      </x:c>
      <x:c r="M33" s="53" t="str">
        <x:v>需区分‘菌血症并存’与真正感染性主动脉瘤</x:v>
      </x:c>
      <x:c r="N33" s="58" t="str">
        <x:v>待临床审核</x:v>
      </x:c>
      <x:c r="O33" s="53" t="str">
        <x:v>https://doi.org/10.1016/j.ejvs.2023.11.002</x:v>
      </x:c>
    </x:row>
    <x:row r="34" ht="49" customHeight="1">
      <x:c r="A34" s="53" t="str">
        <x:v>R030</x:v>
      </x:c>
      <x:c r="B34" s="53" t="str">
        <x:v>4 感染性腹主动脉病</x:v>
      </x:c>
      <x:c r="C34" s="53" t="str">
        <x:v>感染性腹主动脉假性动脉瘤</x:v>
      </x:c>
      <x:c r="D34" s="53" t="str">
        <x:v>感染性假性动脉瘤|mycotic pseudoaneurysm|infected aortic pseudoaneurysm</x:v>
      </x:c>
      <x:c r="E34" s="53" t="str">
        <x:v>主动脉假性瘤证据 AND 感染证据</x:v>
      </x:c>
      <x:c r="F34" s="53" t="str">
        <x:v>普通非感染性假性瘤</x:v>
      </x:c>
      <x:c r="G34" s="62" t="str">
        <x:v>复杂模式</x:v>
      </x:c>
      <x:c r="H34" s="53" t="str">
        <x:v>破裂/脓毒性休克→急诊</x:v>
      </x:c>
      <x:c r="I34" s="53" t="str">
        <x:v>复杂病因</x:v>
      </x:c>
      <x:c r="J34" s="53" t="str">
        <x:v>A 指南引擎＋B 影像量化器＋C 解剖评分器＋D 记忆检索器＋E 风险评估器</x:v>
      </x:c>
      <x:c r="K34" s="53" t="str">
        <x:v>§10.1; §10.3</x:v>
      </x:c>
      <x:c r="L34" s="53" t="str">
        <x:v>指南病种＋工程路由</x:v>
      </x:c>
      <x:c r="M34" s="53" t="str">
        <x:v>交叉挂载特殊假性瘤</x:v>
      </x:c>
      <x:c r="N34" s="58" t="str">
        <x:v>待临床审核</x:v>
      </x:c>
      <x:c r="O34" s="53" t="str">
        <x:v>https://doi.org/10.1016/j.ejvs.2023.11.002</x:v>
      </x:c>
    </x:row>
    <x:row r="35" ht="49" customHeight="1">
      <x:c r="A35" s="53" t="str">
        <x:v>R031</x:v>
      </x:c>
      <x:c r="B35" s="53" t="str">
        <x:v>4 感染性腹主动脉病</x:v>
      </x:c>
      <x:c r="C35" s="53" t="str">
        <x:v>感染性主动脉炎</x:v>
      </x:c>
      <x:c r="D35" s="53" t="str">
        <x:v>感染性主动脉炎|infectious aortitis|aortic wall infection</x:v>
      </x:c>
      <x:c r="E35" s="53" t="str">
        <x:v>明确/高度怀疑感染性血管壁炎症</x:v>
      </x:c>
      <x:c r="F35" s="53" t="str">
        <x:v>非感染性炎症性AAA/IgG4病变</x:v>
      </x:c>
      <x:c r="G35" s="62" t="str">
        <x:v>复杂模式</x:v>
      </x:c>
      <x:c r="H35" s="53" t="str">
        <x:v>不稳定、破裂或脓毒性休克→急诊</x:v>
      </x:c>
      <x:c r="I35" s="53" t="str">
        <x:v>需鉴别非感染性炎症</x:v>
      </x:c>
      <x:c r="J35" s="53" t="str">
        <x:v>A 指南引擎＋B 影像量化器＋C 解剖评分器＋D 记忆检索器＋E 风险评估器</x:v>
      </x:c>
      <x:c r="K35" s="53" t="str">
        <x:v>§10.1（相关拓展）</x:v>
      </x:c>
      <x:c r="L35" s="53" t="str">
        <x:v>临床扩展</x:v>
      </x:c>
      <x:c r="M35" s="53" t="str">
        <x:v>感染性主动脉炎为细分类扩展，不是ESVS单列目录病种</x:v>
      </x:c>
      <x:c r="N35" s="58" t="str">
        <x:v>待临床审核</x:v>
      </x:c>
      <x:c r="O35" s="53" t="str">
        <x:v>https://doi.org/10.1016/j.ejvs.2023.11.002</x:v>
      </x:c>
    </x:row>
    <x:row r="36" ht="49" customHeight="1">
      <x:c r="A36" s="53" t="str">
        <x:v>R032</x:v>
      </x:c>
      <x:c r="B36" s="53" t="str">
        <x:v>4 感染性腹主动脉病</x:v>
      </x:c>
      <x:c r="C36" s="53" t="str">
        <x:v>开放修复术后人工血管感染</x:v>
      </x:c>
      <x:c r="D36" s="53" t="str">
        <x:v>开放术后人工血管感染|aortic graft infection|AGI|OSR graft infection</x:v>
      </x:c>
      <x:c r="E36" s="53" t="str">
        <x:v>既往OSR/人工血管植入 AND 当前感染证据</x:v>
      </x:c>
      <x:c r="F36" s="53" t="str">
        <x:v>仅浅表切口感染不能等同深部移植物感染</x:v>
      </x:c>
      <x:c r="G36" s="62" t="str">
        <x:v>复杂模式</x:v>
      </x:c>
      <x:c r="H36" s="53" t="str">
        <x:v>脓毒性休克/活动性大出血/瘘→急诊</x:v>
      </x:c>
      <x:c r="I36" s="53" t="str">
        <x:v>可与术后第7类并存</x:v>
      </x:c>
      <x:c r="J36" s="53" t="str">
        <x:v>A 指南引擎＋B 影像量化器＋C 解剖评分器＋D 记忆检索器＋E 风险评估器</x:v>
      </x:c>
      <x:c r="K36" s="53" t="str">
        <x:v>§7.2.2</x:v>
      </x:c>
      <x:c r="L36" s="53" t="str">
        <x:v>指南病种＋工程路由</x:v>
      </x:c>
      <x:c r="M36" s="53" t="str">
        <x:v>考虑深部感染诊断标准</x:v>
      </x:c>
      <x:c r="N36" s="58" t="str">
        <x:v>待临床审核</x:v>
      </x:c>
      <x:c r="O36" s="53" t="str">
        <x:v>https://doi.org/10.1016/j.ejvs.2023.11.002</x:v>
      </x:c>
    </x:row>
    <x:row r="37" ht="49" customHeight="1">
      <x:c r="A37" s="53" t="str">
        <x:v>R033</x:v>
      </x:c>
      <x:c r="B37" s="53" t="str">
        <x:v>4 感染性腹主动脉病</x:v>
      </x:c>
      <x:c r="C37" s="53" t="str">
        <x:v>EVAR术后支架移植物感染</x:v>
      </x:c>
      <x:c r="D37" s="53" t="str">
        <x:v>支架移植物感染|endograft infection|EVAR graft infection</x:v>
      </x:c>
      <x:c r="E37" s="53" t="str">
        <x:v>既往EVAR AND 感染提示支持移植物感染</x:v>
      </x:c>
      <x:c r="F37" s="53" t="str">
        <x:v>术后早期发热但无移植物感染证据</x:v>
      </x:c>
      <x:c r="G37" s="62" t="str">
        <x:v>复杂模式</x:v>
      </x:c>
      <x:c r="H37" s="53" t="str">
        <x:v>休克/破裂/肠瘘大出血→急诊</x:v>
      </x:c>
      <x:c r="I37" s="53" t="str">
        <x:v>需考虑术后时相</x:v>
      </x:c>
      <x:c r="J37" s="53" t="str">
        <x:v>A 指南引擎＋B 影像量化器＋C 解剖评分器＋D 记忆检索器＋E 风险评估器</x:v>
      </x:c>
      <x:c r="K37" s="53" t="str">
        <x:v>§7.2.2</x:v>
      </x:c>
      <x:c r="L37" s="53" t="str">
        <x:v>指南病种＋工程路由</x:v>
      </x:c>
      <x:c r="M37" s="53" t="str">
        <x:v>与移植物术后第7类交叉</x:v>
      </x:c>
      <x:c r="N37" s="58" t="str">
        <x:v>待临床审核</x:v>
      </x:c>
      <x:c r="O37" s="53" t="str">
        <x:v>https://doi.org/10.1016/j.ejvs.2023.11.002</x:v>
      </x:c>
    </x:row>
    <x:row r="38" ht="49" customHeight="1">
      <x:c r="A38" s="53" t="str">
        <x:v>R034</x:v>
      </x:c>
      <x:c r="B38" s="53" t="str">
        <x:v>4 感染性腹主动脉病</x:v>
      </x:c>
      <x:c r="C38" s="53" t="str">
        <x:v>局限性移植物感染</x:v>
      </x:c>
      <x:c r="D38" s="53" t="str">
        <x:v>局限性支架感染|localized graft infection|局灶移植物感染</x:v>
      </x:c>
      <x:c r="E38" s="53" t="str">
        <x:v>已有移植物感染诊断 AND 证据支持范围局限</x:v>
      </x:c>
      <x:c r="F38" s="53" t="str">
        <x:v>不应仅基于短语直接决定部分切除</x:v>
      </x:c>
      <x:c r="G38" s="62" t="str">
        <x:v>复杂模式</x:v>
      </x:c>
      <x:c r="H38" s="53" t="str">
        <x:v>脓毒症失代偿/出血→急诊</x:v>
      </x:c>
      <x:c r="I38" s="53" t="str">
        <x:v>计划需多学科</x:v>
      </x:c>
      <x:c r="J38" s="53" t="str">
        <x:v>A 指南引擎＋B 影像量化器＋C 解剖评分器＋D 记忆检索器＋E 风险评估器</x:v>
      </x:c>
      <x:c r="K38" s="53" t="str">
        <x:v>§7.2.2; Rec 94</x:v>
      </x:c>
      <x:c r="L38" s="53" t="str">
        <x:v>指南病种＋工程路由</x:v>
      </x:c>
      <x:c r="M38" s="53" t="str">
        <x:v>不由路由节点决定具体术式</x:v>
      </x:c>
      <x:c r="N38" s="58" t="str">
        <x:v>待临床审核</x:v>
      </x:c>
      <x:c r="O38" s="53" t="str">
        <x:v>https://doi.org/10.1016/j.ejvs.2023.11.002</x:v>
      </x:c>
    </x:row>
    <x:row r="39" ht="49" customHeight="1">
      <x:c r="A39" s="53" t="str">
        <x:v>R035</x:v>
      </x:c>
      <x:c r="B39" s="53" t="str">
        <x:v>4 感染性腹主动脉病</x:v>
      </x:c>
      <x:c r="C39" s="53" t="str">
        <x:v>感染伴移植物肠瘘</x:v>
      </x:c>
      <x:c r="D39" s="53" t="str">
        <x:v>移植物肠瘘|graft-enteric fistula|GEF|secondary aortoenteric fistula</x:v>
      </x:c>
      <x:c r="E39" s="53" t="str">
        <x:v>既往主动脉人工血管/支架 AND 肠道交通或高度怀疑</x:v>
      </x:c>
      <x:c r="F39" s="53" t="str">
        <x:v>原发性无手术史肠瘘另列</x:v>
      </x:c>
      <x:c r="G39" s="62" t="str">
        <x:v>复杂模式</x:v>
      </x:c>
      <x:c r="H39" s="53" t="str">
        <x:v>消化道活动性出血/失血性休克/脓毒性休克或高度疑似急性瘘→急诊</x:v>
      </x:c>
      <x:c r="I39" s="53" t="str">
        <x:v>高度危险，须人工优先复核</x:v>
      </x:c>
      <x:c r="J39" s="53" t="str">
        <x:v>A 指南引擎＋B 影像量化器＋C 解剖评分器＋D 记忆检索器＋E 风险评估器</x:v>
      </x:c>
      <x:c r="K39" s="53" t="str">
        <x:v>§7.2.2</x:v>
      </x:c>
      <x:c r="L39" s="53" t="str">
        <x:v>指南病种＋工程路由</x:v>
      </x:c>
      <x:c r="M39" s="53" t="str">
        <x:v>没有活动性出血的确诊瘘仍应高优先级专科处置</x:v>
      </x:c>
      <x:c r="N39" s="58" t="str">
        <x:v>待临床审核</x:v>
      </x:c>
      <x:c r="O39" s="53" t="str">
        <x:v>https://doi.org/10.1016/j.ejvs.2023.11.002</x:v>
      </x:c>
    </x:row>
    <x:row r="40" ht="49" customHeight="1">
      <x:c r="A40" s="53" t="str">
        <x:v>R036</x:v>
      </x:c>
      <x:c r="B40" s="53" t="str">
        <x:v>4 感染性腹主动脉病</x:v>
      </x:c>
      <x:c r="C40" s="53" t="str">
        <x:v>移植物周围脓肿/感染性积液</x:v>
      </x:c>
      <x:c r="D40" s="53" t="str">
        <x:v>移植物周围脓肿|perigraft abscess|perigraft infection</x:v>
      </x:c>
      <x:c r="E40" s="53" t="str">
        <x:v>既往主动脉重建 AND 影像/病原证据支持移植物周围感染</x:v>
      </x:c>
      <x:c r="F40" s="53" t="str">
        <x:v>仅无菌性积液/术后早期正常改变</x:v>
      </x:c>
      <x:c r="G40" s="62" t="str">
        <x:v>复杂模式</x:v>
      </x:c>
      <x:c r="H40" s="53" t="str">
        <x:v>败血症性休克或破裂→急诊</x:v>
      </x:c>
      <x:c r="I40" s="53" t="str">
        <x:v>术后相关</x:v>
      </x:c>
      <x:c r="J40" s="53" t="str">
        <x:v>A 指南引擎＋B 影像量化器＋C 解剖评分器＋D 记忆检索器＋E 风险评估器</x:v>
      </x:c>
      <x:c r="K40" s="53" t="str">
        <x:v>§7.2.2</x:v>
      </x:c>
      <x:c r="L40" s="53" t="str">
        <x:v>指南病种＋工程路由</x:v>
      </x:c>
      <x:c r="M40" s="53" t="str">
        <x:v>影像术语不等于已确诊感染</x:v>
      </x:c>
      <x:c r="N40" s="58" t="str">
        <x:v>待临床审核</x:v>
      </x:c>
      <x:c r="O40" s="53" t="str">
        <x:v>https://doi.org/10.1016/j.ejvs.2023.11.002</x:v>
      </x:c>
    </x:row>
    <x:row r="41" ht="49" customHeight="1">
      <x:c r="A41" s="53" t="str">
        <x:v>R037</x:v>
      </x:c>
      <x:c r="B41" s="53" t="str">
        <x:v>4 感染性腹主动脉病</x:v>
      </x:c>
      <x:c r="C41" s="53" t="str">
        <x:v>疑似移植物感染待查</x:v>
      </x:c>
      <x:c r="D41" s="53" t="str">
        <x:v>怀疑移植物感染|suspected endograft infection|疑似人工血管感染</x:v>
      </x:c>
      <x:c r="E41" s="53" t="str">
        <x:v>明确移植物存在 AND 临床/影像感染警示</x:v>
      </x:c>
      <x:c r="F41" s="53" t="str">
        <x:v>已排除感染/仅历史病历记载</x:v>
      </x:c>
      <x:c r="G41" s="62" t="str">
        <x:v>复杂模式</x:v>
      </x:c>
      <x:c r="H41" s="53" t="str">
        <x:v>不稳定/出血/败血症症状→急诊</x:v>
      </x:c>
      <x:c r="I41" s="53" t="str">
        <x:v>保留‘疑似’，人工复核</x:v>
      </x:c>
      <x:c r="J41" s="53" t="str">
        <x:v>A 指南引擎＋B 影像量化器＋C 解剖评分器＋D 记忆检索器＋E 风险评估器</x:v>
      </x:c>
      <x:c r="K41" s="53" t="str">
        <x:v>§7.2.2</x:v>
      </x:c>
      <x:c r="L41" s="53" t="str">
        <x:v>指南病种＋工程路由</x:v>
      </x:c>
      <x:c r="M41" s="53" t="str">
        <x:v>AI不能依据发热单词完成感染确诊</x:v>
      </x:c>
      <x:c r="N41" s="58" t="str">
        <x:v>待临床审核</x:v>
      </x:c>
      <x:c r="O41" s="53" t="str">
        <x:v>https://doi.org/10.1016/j.ejvs.2023.11.002</x:v>
      </x:c>
    </x:row>
    <x:row r="42" ht="49" customHeight="1">
      <x:c r="A42" s="53" t="str">
        <x:v>R038</x:v>
      </x:c>
      <x:c r="B42" s="53" t="str">
        <x:v>5 其他特殊腹主动脉病</x:v>
      </x:c>
      <x:c r="C42" s="53" t="str">
        <x:v>炎症性腹主动脉瘤</x:v>
      </x:c>
      <x:c r="D42" s="53" t="str">
        <x:v>炎症性腹主动脉瘤|inflammatory AAA|IAA inflammatory aneurysm</x:v>
      </x:c>
      <x:c r="E42" s="53" t="str">
        <x:v>影像/病理支持动脉瘤伴主动脉周围纤维炎症</x:v>
      </x:c>
      <x:c r="F42" s="53" t="str">
        <x:v>感染性动脉瘤未排除时不按非感染性炎症分类</x:v>
      </x:c>
      <x:c r="G42" s="62" t="str">
        <x:v>复杂模式</x:v>
      </x:c>
      <x:c r="H42" s="53" t="str">
        <x:v>破裂/急性梗阻失代偿→急诊</x:v>
      </x:c>
      <x:c r="I42" s="53" t="str">
        <x:v>建议专科识别输尿管积水</x:v>
      </x:c>
      <x:c r="J42" s="53" t="str">
        <x:v>A 指南引擎＋B 影像量化器＋C 解剖评分器＋D 记忆检索器＋E 风险评估器</x:v>
      </x:c>
      <x:c r="K42" s="53" t="str">
        <x:v>§10.2</x:v>
      </x:c>
      <x:c r="L42" s="53" t="str">
        <x:v>指南病种＋工程路由</x:v>
      </x:c>
      <x:c r="M42" s="53" t="str">
        <x:v>感染和非感染性炎症不可混淆</x:v>
      </x:c>
      <x:c r="N42" s="58" t="str">
        <x:v>待临床审核</x:v>
      </x:c>
      <x:c r="O42" s="53" t="str">
        <x:v>https://doi.org/10.1016/j.ejvs.2023.11.002</x:v>
      </x:c>
    </x:row>
    <x:row r="43" ht="49" customHeight="1">
      <x:c r="A43" s="53" t="str">
        <x:v>R039</x:v>
      </x:c>
      <x:c r="B43" s="53" t="str">
        <x:v>5 其他特殊腹主动脉病</x:v>
      </x:c>
      <x:c r="C43" s="53" t="str">
        <x:v>IgG4相关腹主动脉周围炎/动脉瘤</x:v>
      </x:c>
      <x:c r="D43" s="53" t="str">
        <x:v>IgG4相关主动脉病|IgG4-related periaortitis|IgG4 AAA</x:v>
      </x:c>
      <x:c r="E43" s="53" t="str">
        <x:v>有IgG4相关疾病证据及主动脉受累</x:v>
      </x:c>
      <x:c r="F43" s="53" t="str">
        <x:v>单纯血IgG4升高不能作为病因确诊</x:v>
      </x:c>
      <x:c r="G43" s="62" t="str">
        <x:v>复杂模式</x:v>
      </x:c>
      <x:c r="H43" s="53" t="str">
        <x:v>破裂/急性重要器官受压→急诊</x:v>
      </x:c>
      <x:c r="I43" s="53" t="str">
        <x:v>炎症性AAA亚型</x:v>
      </x:c>
      <x:c r="J43" s="53" t="str">
        <x:v>A 指南引擎＋B 影像量化器＋C 解剖评分器＋D 记忆检索器＋E 风险评估器</x:v>
      </x:c>
      <x:c r="K43" s="53" t="str">
        <x:v>§10.2; §10.5</x:v>
      </x:c>
      <x:c r="L43" s="53" t="str">
        <x:v>指南病种＋工程路由</x:v>
      </x:c>
      <x:c r="M43" s="53" t="str">
        <x:v>可与炎症性AAA交叉</x:v>
      </x:c>
      <x:c r="N43" s="58" t="str">
        <x:v>待临床审核</x:v>
      </x:c>
      <x:c r="O43" s="53" t="str">
        <x:v>https://doi.org/10.1016/j.ejvs.2023.11.002</x:v>
      </x:c>
    </x:row>
    <x:row r="44" ht="49" customHeight="1">
      <x:c r="A44" s="53" t="str">
        <x:v>R040</x:v>
      </x:c>
      <x:c r="B44" s="53" t="str">
        <x:v>5 其他特殊腹主动脉病</x:v>
      </x:c>
      <x:c r="C44" s="53" t="str">
        <x:v>非感染性囊状AAA</x:v>
      </x:c>
      <x:c r="D44" s="53" t="str">
        <x:v>囊状腹主动脉瘤|saccular AAA|saccular abdominal aneurysm</x:v>
      </x:c>
      <x:c r="E44" s="53" t="str">
        <x:v>囊状形态证据 AND 感染与假性瘤需排除</x:v>
      </x:c>
      <x:c r="F44" s="53" t="str">
        <x:v>囊状形态不等于典型退行性梭形AAA</x:v>
      </x:c>
      <x:c r="G44" s="62" t="str">
        <x:v>复杂模式</x:v>
      </x:c>
      <x:c r="H44" s="53" t="str">
        <x:v>破裂/急痛/血肿→急诊</x:v>
      </x:c>
      <x:c r="I44" s="53" t="str">
        <x:v>特殊形态需单独评估修复指征</x:v>
      </x:c>
      <x:c r="J44" s="53" t="str">
        <x:v>A 指南引擎＋B 影像量化器＋C 解剖评分器＋D 记忆检索器＋E 风险评估器</x:v>
      </x:c>
      <x:c r="K44" s="53" t="str">
        <x:v>§10.3; Rec 150</x:v>
      </x:c>
      <x:c r="L44" s="53" t="str">
        <x:v>指南病种＋工程路由</x:v>
      </x:c>
      <x:c r="M44" s="53" t="str">
        <x:v>不能一律用常规55/50mm判断</x:v>
      </x:c>
      <x:c r="N44" s="58" t="str">
        <x:v>待临床审核</x:v>
      </x:c>
      <x:c r="O44" s="53" t="str">
        <x:v>https://doi.org/10.1016/j.ejvs.2023.11.002</x:v>
      </x:c>
    </x:row>
    <x:row r="45" ht="49" customHeight="1">
      <x:c r="A45" s="53" t="str">
        <x:v>R041</x:v>
      </x:c>
      <x:c r="B45" s="53" t="str">
        <x:v>5 其他特殊腹主动脉病</x:v>
      </x:c>
      <x:c r="C45" s="53" t="str">
        <x:v>稳定无并发症腹主动脉PAU</x:v>
      </x:c>
      <x:c r="D45" s="53" t="str">
        <x:v>腹主动脉穿透性溃疡|abdominal PAU|penetrating aortic ulcer</x:v>
      </x:c>
      <x:c r="E45" s="53" t="str">
        <x:v>PAU确诊 AND 无扩张/血肿/假性瘤/反复痛/栓塞/灌注障碍</x:v>
      </x:c>
      <x:c r="F45" s="53" t="str">
        <x:v>胸主动脉PAU需标界；合并并发症不得归无并发症</x:v>
      </x:c>
      <x:c r="G45" s="62" t="str">
        <x:v>复杂模式</x:v>
      </x:c>
      <x:c r="H45" s="53" t="str">
        <x:v>破裂/急性失代偿→急诊</x:v>
      </x:c>
      <x:c r="I45" s="53" t="str">
        <x:v>虽指南可保守随访，首轮专业病种入复杂</x:v>
      </x:c>
      <x:c r="J45" s="53" t="str">
        <x:v>A 指南引擎＋B 影像量化器＋C 解剖评分器＋D 记忆检索器＋E 风险评估器</x:v>
      </x:c>
      <x:c r="K45" s="53" t="str">
        <x:v>§10.3; Rec 148</x:v>
      </x:c>
      <x:c r="L45" s="53" t="str">
        <x:v>指南病种＋工程路由</x:v>
      </x:c>
      <x:c r="M45" s="53" t="str">
        <x:v>避免误用标准AAA直径阈值</x:v>
      </x:c>
      <x:c r="N45" s="58" t="str">
        <x:v>待临床审核</x:v>
      </x:c>
      <x:c r="O45" s="53" t="str">
        <x:v>https://doi.org/10.1016/j.ejvs.2023.11.002</x:v>
      </x:c>
    </x:row>
    <x:row r="46" ht="49" customHeight="1">
      <x:c r="A46" s="53" t="str">
        <x:v>R042</x:v>
      </x:c>
      <x:c r="B46" s="53" t="str">
        <x:v>5 其他特殊腹主动脉病</x:v>
      </x:c>
      <x:c r="C46" s="53" t="str">
        <x:v>有并发症腹主动脉PAU</x:v>
      </x:c>
      <x:c r="D46" s="53" t="str">
        <x:v>复杂穿透性溃疡|complicated PAU|PAU with hematoma|PAU malperfusion</x:v>
      </x:c>
      <x:c r="E46" s="53" t="str">
        <x:v>PAU + 增大/血肿/假性瘤/反复痛/栓塞/灌注障碍之一</x:v>
      </x:c>
      <x:c r="F46" s="53" t="str">
        <x:v>无并发症、稳定、已排除危险因素</x:v>
      </x:c>
      <x:c r="G46" s="62" t="str">
        <x:v>复杂模式</x:v>
      </x:c>
      <x:c r="H46" s="53" t="str">
        <x:v>活动性出血/破裂/急性重要器官缺血→急诊</x:v>
      </x:c>
      <x:c r="I46" s="53" t="str">
        <x:v>复杂优先，无不稳定时需紧急专科评价</x:v>
      </x:c>
      <x:c r="J46" s="53" t="str">
        <x:v>A 指南引擎＋B 影像量化器＋C 解剖评分器＋D 记忆检索器＋E 风险评估器</x:v>
      </x:c>
      <x:c r="K46" s="53" t="str">
        <x:v>§10.3; Rec 149</x:v>
      </x:c>
      <x:c r="L46" s="53" t="str">
        <x:v>指南病种＋工程路由</x:v>
      </x:c>
      <x:c r="M46" s="53" t="str">
        <x:v>仅复杂并不等于全部急诊抢救；根据危急状态提升</x:v>
      </x:c>
      <x:c r="N46" s="58" t="str">
        <x:v>待临床审核</x:v>
      </x:c>
      <x:c r="O46" s="53" t="str">
        <x:v>https://doi.org/10.1016/j.ejvs.2023.11.002</x:v>
      </x:c>
    </x:row>
    <x:row r="47" ht="49" customHeight="1">
      <x:c r="A47" s="53" t="str">
        <x:v>R043</x:v>
      </x:c>
      <x:c r="B47" s="53" t="str">
        <x:v>5 其他特殊腹主动脉病</x:v>
      </x:c>
      <x:c r="C47" s="53" t="str">
        <x:v>稳定无并发症腹主动脉IMH</x:v>
      </x:c>
      <x:c r="D47" s="53" t="str">
        <x:v>腹主动脉壁内血肿|abdominal IMH|intramural hematoma</x:v>
      </x:c>
      <x:c r="E47" s="53" t="str">
        <x:v>腹主动脉IMH确诊 AND 无持续症状/增大/血肿/灌注障碍</x:v>
      </x:c>
      <x:c r="F47" s="53" t="str">
        <x:v>胸主动脉IMH；高危并发情况</x:v>
      </x:c>
      <x:c r="G47" s="62" t="str">
        <x:v>复杂模式</x:v>
      </x:c>
      <x:c r="H47" s="53" t="str">
        <x:v>急性疼痛恶化/破裂/灌注障碍→急诊</x:v>
      </x:c>
      <x:c r="I47" s="53" t="str">
        <x:v>非典型主动脉综合征专门识别</x:v>
      </x:c>
      <x:c r="J47" s="53" t="str">
        <x:v>A 指南引擎＋B 影像量化器＋C 解剖评分器＋D 记忆检索器＋E 风险评估器</x:v>
      </x:c>
      <x:c r="K47" s="53" t="str">
        <x:v>§10.3; Rec 148</x:v>
      </x:c>
      <x:c r="L47" s="53" t="str">
        <x:v>指南病种＋工程路由</x:v>
      </x:c>
      <x:c r="M47" s="53" t="str">
        <x:v>指南建议最佳药物治疗+监测，路由不代表介入指征</x:v>
      </x:c>
      <x:c r="N47" s="58" t="str">
        <x:v>待临床审核</x:v>
      </x:c>
      <x:c r="O47" s="53" t="str">
        <x:v>https://doi.org/10.1016/j.ejvs.2023.11.002</x:v>
      </x:c>
    </x:row>
    <x:row r="48" ht="49" customHeight="1">
      <x:c r="A48" s="53" t="str">
        <x:v>R044</x:v>
      </x:c>
      <x:c r="B48" s="53" t="str">
        <x:v>5 其他特殊腹主动脉病</x:v>
      </x:c>
      <x:c r="C48" s="53" t="str">
        <x:v>有并发症腹主动脉IMH</x:v>
      </x:c>
      <x:c r="D48" s="53" t="str">
        <x:v>复杂壁内血肿|complicated IMH|IMH expansion</x:v>
      </x:c>
      <x:c r="E48" s="53" t="str">
        <x:v>腹主动脉IMH + 反复痛/扩张/周围血肿/灌注障碍</x:v>
      </x:c>
      <x:c r="F48" s="53" t="str">
        <x:v>无并发症稳定IMH</x:v>
      </x:c>
      <x:c r="G48" s="62" t="str">
        <x:v>复杂模式</x:v>
      </x:c>
      <x:c r="H48" s="53" t="str">
        <x:v>破裂/急性缺血/休克→急诊</x:v>
      </x:c>
      <x:c r="I48" s="53" t="str">
        <x:v>需要专业策略</x:v>
      </x:c>
      <x:c r="J48" s="53" t="str">
        <x:v>A 指南引擎＋B 影像量化器＋C 解剖评分器＋D 记忆检索器＋E 风险评估器</x:v>
      </x:c>
      <x:c r="K48" s="53" t="str">
        <x:v>§10.3; Rec 149</x:v>
      </x:c>
      <x:c r="L48" s="53" t="str">
        <x:v>指南病种＋工程路由</x:v>
      </x:c>
      <x:c r="M48" s="53" t="str">
        <x:v>单纯‘壁内血肿’不足以判断是否复杂</x:v>
      </x:c>
      <x:c r="N48" s="58" t="str">
        <x:v>待临床审核</x:v>
      </x:c>
      <x:c r="O48" s="53" t="str">
        <x:v>https://doi.org/10.1016/j.ejvs.2023.11.002</x:v>
      </x:c>
    </x:row>
    <x:row r="49" ht="49" customHeight="1">
      <x:c r="A49" s="53" t="str">
        <x:v>R045</x:v>
      </x:c>
      <x:c r="B49" s="53" t="str">
        <x:v>5 其他特殊腹主动脉病</x:v>
      </x:c>
      <x:c r="C49" s="53" t="str">
        <x:v>稳定孤立性腹主动脉夹层</x:v>
      </x:c>
      <x:c r="D49" s="53" t="str">
        <x:v>孤立性腹主动脉夹层|IAAD|isolated abdominal aortic dissection</x:v>
      </x:c>
      <x:c r="E49" s="53" t="str">
        <x:v>腹主动脉局限夹层确诊 AND 目前无缺血/增大/反复痛</x:v>
      </x:c>
      <x:c r="F49" s="53" t="str">
        <x:v>胸主动脉夹层向下延伸并非严格IAAD</x:v>
      </x:c>
      <x:c r="G49" s="62" t="str">
        <x:v>复杂模式</x:v>
      </x:c>
      <x:c r="H49" s="53" t="str">
        <x:v>急性缺血/疑似破裂/持续恶化疼痛→急诊</x:v>
      </x:c>
      <x:c r="I49" s="53" t="str">
        <x:v>同时需确认是否合并AAA</x:v>
      </x:c>
      <x:c r="J49" s="53" t="str">
        <x:v>A 指南引擎＋B 影像量化器＋C 解剖评分器＋D 记忆检索器＋E 风险评估器</x:v>
      </x:c>
      <x:c r="K49" s="53" t="str">
        <x:v>§10.3; Rec 148</x:v>
      </x:c>
      <x:c r="L49" s="53" t="str">
        <x:v>指南病种＋工程路由</x:v>
      </x:c>
      <x:c r="M49" s="53" t="str">
        <x:v>默认复杂是本Agent首轮安全工程选择</x:v>
      </x:c>
      <x:c r="N49" s="58" t="str">
        <x:v>待临床审核</x:v>
      </x:c>
      <x:c r="O49" s="53" t="str">
        <x:v>https://doi.org/10.1016/j.ejvs.2023.11.002</x:v>
      </x:c>
    </x:row>
    <x:row r="50" ht="49" customHeight="1">
      <x:c r="A50" s="53" t="str">
        <x:v>R046</x:v>
      </x:c>
      <x:c r="B50" s="53" t="str">
        <x:v>5 其他特殊腹主动脉病</x:v>
      </x:c>
      <x:c r="C50" s="53" t="str">
        <x:v>有并发症腹主动脉夹层</x:v>
      </x:c>
      <x:c r="D50" s="53" t="str">
        <x:v>复杂IAAD|IAAD malperfusion|腹主动脉夹层器官缺血</x:v>
      </x:c>
      <x:c r="E50" s="53" t="str">
        <x:v>IAAD+持续症状/扩张/周围血肿/灌注不良之一</x:v>
      </x:c>
      <x:c r="F50" s="53" t="str">
        <x:v>无并发症且稳定的IAAD</x:v>
      </x:c>
      <x:c r="G50" s="62" t="str">
        <x:v>复杂模式</x:v>
      </x:c>
      <x:c r="H50" s="53" t="str">
        <x:v>急性肠系膜/肾脏/下肢缺血或破裂→急诊</x:v>
      </x:c>
      <x:c r="I50" s="53" t="str">
        <x:v>需评估内脏及下肢灌注</x:v>
      </x:c>
      <x:c r="J50" s="53" t="str">
        <x:v>A 指南引擎＋B 影像量化器＋C 解剖评分器＋D 记忆检索器＋E 风险评估器</x:v>
      </x:c>
      <x:c r="K50" s="53" t="str">
        <x:v>§10.3; Rec 149</x:v>
      </x:c>
      <x:c r="L50" s="53" t="str">
        <x:v>指南病种＋工程路由</x:v>
      </x:c>
      <x:c r="M50" s="53" t="str">
        <x:v>临床并发状态决定是否急诊</x:v>
      </x:c>
      <x:c r="N50" s="58" t="str">
        <x:v>待临床审核</x:v>
      </x:c>
      <x:c r="O50" s="53" t="str">
        <x:v>https://doi.org/10.1016/j.ejvs.2023.11.002</x:v>
      </x:c>
    </x:row>
    <x:row r="51" ht="49" customHeight="1">
      <x:c r="A51" s="53" t="str">
        <x:v>R047</x:v>
      </x:c>
      <x:c r="B51" s="53" t="str">
        <x:v>5 其他特殊腹主动脉病</x:v>
      </x:c>
      <x:c r="C51" s="53" t="str">
        <x:v>非感染性腹主动脉假性动脉瘤</x:v>
      </x:c>
      <x:c r="D51" s="53" t="str">
        <x:v>腹主动脉假性动脉瘤|aortic pseudoaneurysm|false aortic aneurysm</x:v>
      </x:c>
      <x:c r="E51" s="53" t="str">
        <x:v>确认假性瘤存在 AND 非主动脉术后吻合口（如是转术后分支）</x:v>
      </x:c>
      <x:c r="F51" s="53" t="str">
        <x:v>感染性假性瘤转感染；术后吻合口假性瘤转术后</x:v>
      </x:c>
      <x:c r="G51" s="62" t="str">
        <x:v>复杂模式</x:v>
      </x:c>
      <x:c r="H51" s="53" t="str">
        <x:v>破裂/局部出血/休克→急诊</x:v>
      </x:c>
      <x:c r="I51" s="53" t="str">
        <x:v>需核实外伤/医源性/PAU相关病因</x:v>
      </x:c>
      <x:c r="J51" s="53" t="str">
        <x:v>A 指南引擎＋B 影像量化器＋C 解剖评分器＋D 记忆检索器＋E 风险评估器</x:v>
      </x:c>
      <x:c r="K51" s="53" t="str">
        <x:v>§10.3; Rec 149</x:v>
      </x:c>
      <x:c r="L51" s="53" t="str">
        <x:v>指南病种＋工程路由</x:v>
      </x:c>
      <x:c r="M51" s="53" t="str">
        <x:v>可有多个病因标签</x:v>
      </x:c>
      <x:c r="N51" s="58" t="str">
        <x:v>待临床审核</x:v>
      </x:c>
      <x:c r="O51" s="53" t="str">
        <x:v>https://doi.org/10.1016/j.ejvs.2023.11.002</x:v>
      </x:c>
    </x:row>
    <x:row r="52" ht="49" customHeight="1">
      <x:c r="A52" s="53" t="str">
        <x:v>R048</x:v>
      </x:c>
      <x:c r="B52" s="53" t="str">
        <x:v>5 其他特殊腹主动脉病</x:v>
      </x:c>
      <x:c r="C52" s="53" t="str">
        <x:v>原发性主动脉肠瘘</x:v>
      </x:c>
      <x:c r="D52" s="53" t="str">
        <x:v>原发性主动脉肠瘘|primary aortoenteric fistula|原生主动脉肠瘘</x:v>
      </x:c>
      <x:c r="E52" s="53" t="str">
        <x:v>无主动脉修复史 AND 瘘证据或高度临床怀疑</x:v>
      </x:c>
      <x:c r="F52" s="53" t="str">
        <x:v>有主动脉移植物时优先继发性肠瘘</x:v>
      </x:c>
      <x:c r="G52" s="64" t="str">
        <x:v>急诊模式</x:v>
      </x:c>
      <x:c r="H52" s="53" t="str">
        <x:v>直接急诊专科评估</x:v>
      </x:c>
      <x:c r="I52" s="53" t="str">
        <x:v>活动性大出血时复苏优先</x:v>
      </x:c>
      <x:c r="J52" s="53" t="str">
        <x:v>启动急诊应急预案；暂缓常规工具调度（急诊专属工具未在原图指定）</x:v>
      </x:c>
      <x:c r="K52" s="53" t="str">
        <x:v>§7.2.2相关，一级疾病扩展</x:v>
      </x:c>
      <x:c r="L52" s="53" t="str">
        <x:v>临床扩展</x:v>
      </x:c>
      <x:c r="M52" s="53" t="str">
        <x:v>此独立病种非ESVS 2024目录单列；高危急症安全设计</x:v>
      </x:c>
      <x:c r="N52" s="58" t="str">
        <x:v>待临床审核</x:v>
      </x:c>
      <x:c r="O52" s="53" t="str">
        <x:v>https://doi.org/10.1016/j.ejvs.2023.11.002</x:v>
      </x:c>
    </x:row>
    <x:row r="53" ht="49" customHeight="1">
      <x:c r="A53" s="53" t="str">
        <x:v>R049</x:v>
      </x:c>
      <x:c r="B53" s="53" t="str">
        <x:v>5 其他特殊腹主动脉病</x:v>
      </x:c>
      <x:c r="C53" s="53" t="str">
        <x:v>主动脉下腔静脉瘘</x:v>
      </x:c>
      <x:c r="D53" s="53" t="str">
        <x:v>主动脉下腔静脉瘘|aortocaval fistula|ACF</x:v>
      </x:c>
      <x:c r="E53" s="53" t="str">
        <x:v>影像/临床确认或高度怀疑主动脉-下腔静脉异常交通</x:v>
      </x:c>
      <x:c r="F53" s="53" t="str">
        <x:v>非主动脉来源动静脉瘘</x:v>
      </x:c>
      <x:c r="G53" s="64" t="str">
        <x:v>急诊模式</x:v>
      </x:c>
      <x:c r="H53" s="53" t="str">
        <x:v>疑似活动性瘘进入急诊评估</x:v>
      </x:c>
      <x:c r="I53" s="53" t="str">
        <x:v>稳定与失代偿由医生再分层</x:v>
      </x:c>
      <x:c r="J53" s="53" t="str">
        <x:v>启动急诊应急预案；暂缓常规工具调度（急诊专属工具未在原图指定）</x:v>
      </x:c>
      <x:c r="K53" s="53" t="str">
        <x:v>§6.1.2</x:v>
      </x:c>
      <x:c r="L53" s="53" t="str">
        <x:v>指南病种＋工程路由</x:v>
      </x:c>
      <x:c r="M53" s="53" t="str">
        <x:v>按高危血管交通采取安全优先</x:v>
      </x:c>
      <x:c r="N53" s="58" t="str">
        <x:v>待临床审核</x:v>
      </x:c>
      <x:c r="O53" s="53" t="str">
        <x:v>https://doi.org/10.1016/j.ejvs.2023.11.002</x:v>
      </x:c>
    </x:row>
    <x:row r="54" ht="49" customHeight="1">
      <x:c r="A54" s="53" t="str">
        <x:v>R050</x:v>
      </x:c>
      <x:c r="B54" s="53" t="str">
        <x:v>5 其他特殊腹主动脉病</x:v>
      </x:c>
      <x:c r="C54" s="53" t="str">
        <x:v>遗传/结缔组织病相关AAA</x:v>
      </x:c>
      <x:c r="D54" s="53" t="str">
        <x:v>Marfan AAA|Loeys-Dietz AAA|vascular Ehlers-Danlos AAA|遗传性腹主动脉瘤</x:v>
      </x:c>
      <x:c r="E54" s="53" t="str">
        <x:v>AAA AND 确认相关遗传综合征/结缔组织病</x:v>
      </x:c>
      <x:c r="F54" s="53" t="str">
        <x:v>仅家族史未确认遗传综合征</x:v>
      </x:c>
      <x:c r="G54" s="62" t="str">
        <x:v>复杂模式</x:v>
      </x:c>
      <x:c r="H54" s="53" t="str">
        <x:v>破裂/急痛→急诊</x:v>
      </x:c>
      <x:c r="I54" s="53" t="str">
        <x:v>不直接使用一般AAA择期阈值</x:v>
      </x:c>
      <x:c r="J54" s="53" t="str">
        <x:v>A 指南引擎＋B 影像量化器＋C 解剖评分器＋D 记忆检索器＋E 风险评估器</x:v>
      </x:c>
      <x:c r="K54" s="53" t="str">
        <x:v>§10.5</x:v>
      </x:c>
      <x:c r="L54" s="53" t="str">
        <x:v>指南病种＋工程路由</x:v>
      </x:c>
      <x:c r="M54" s="53" t="str">
        <x:v>需遗传性主动脉病专科评估</x:v>
      </x:c>
      <x:c r="N54" s="58" t="str">
        <x:v>待临床审核</x:v>
      </x:c>
      <x:c r="O54" s="53" t="str">
        <x:v>https://doi.org/10.1016/j.ejvs.2023.11.002</x:v>
      </x:c>
    </x:row>
    <x:row r="55" ht="49" customHeight="1">
      <x:c r="A55" s="53" t="str">
        <x:v>R051</x:v>
      </x:c>
      <x:c r="B55" s="53" t="str">
        <x:v>5 其他特殊腹主动脉病</x:v>
      </x:c>
      <x:c r="C55" s="53" t="str">
        <x:v>AAA合并恶性肿瘤</x:v>
      </x:c>
      <x:c r="D55" s="53" t="str">
        <x:v>AAA合并恶性肿瘤|AAA with malignancy|AAA伴癌症</x:v>
      </x:c>
      <x:c r="E55" s="53" t="str">
        <x:v>AAA + 活动性/已确诊恶性肿瘤，影响治疗优先级</x:v>
      </x:c>
      <x:c r="F55" s="53" t="str">
        <x:v>既往癌症已治愈且不影响当前评估时需个体化</x:v>
      </x:c>
      <x:c r="G55" s="62" t="str">
        <x:v>复杂模式</x:v>
      </x:c>
      <x:c r="H55" s="53" t="str">
        <x:v>急诊病变优先按急诊</x:v>
      </x:c>
      <x:c r="I55" s="53" t="str">
        <x:v>结合肿瘤分期、预期寿命/围术期风险</x:v>
      </x:c>
      <x:c r="J55" s="53" t="str">
        <x:v>A 指南引擎＋B 影像量化器＋C 解剖评分器＋D 记忆检索器＋E 风险评估器</x:v>
      </x:c>
      <x:c r="K55" s="53" t="str">
        <x:v>§10.4; Rec 151–152</x:v>
      </x:c>
      <x:c r="L55" s="53" t="str">
        <x:v>指南病种＋工程路由</x:v>
      </x:c>
      <x:c r="M55" s="53" t="str">
        <x:v>此为合并情况标签而非独立主动脉疾病类型</x:v>
      </x:c>
      <x:c r="N55" s="58" t="str">
        <x:v>待临床审核</x:v>
      </x:c>
      <x:c r="O55" s="53" t="str">
        <x:v>https://doi.org/10.1016/j.ejvs.2023.11.002</x:v>
      </x:c>
    </x:row>
    <x:row r="56" ht="49" customHeight="1">
      <x:c r="A56" s="53" t="str">
        <x:v>R052</x:v>
      </x:c>
      <x:c r="B56" s="53" t="str">
        <x:v>6 髂动脉瘤</x:v>
      </x:c>
      <x:c r="C56" s="53" t="str">
        <x:v>孤立性髂总动脉瘤&lt;40mm</x:v>
      </x:c>
      <x:c r="D56" s="53" t="str">
        <x:v>孤立性髂总动脉瘤|CIAA|common iliac artery aneurysm</x:v>
      </x:c>
      <x:c r="E56" s="53" t="str">
        <x:v>当前无症状 AND 髂总动脉瘤确诊 AND 最大直径&lt;40mm AND 无其他复杂病变</x:v>
      </x:c>
      <x:c r="F56" s="53" t="str">
        <x:v>AAA-髂联合病变或感染/破裂者转复合路由</x:v>
      </x:c>
      <x:c r="G56" s="60" t="str">
        <x:v>指南模式</x:v>
      </x:c>
      <x:c r="H56" s="53" t="str">
        <x:v>破裂/急性栓塞/急痛→急诊</x:v>
      </x:c>
      <x:c r="I56" s="53" t="str">
        <x:v>重要解剖异常/多节段→复杂</x:v>
      </x:c>
      <x:c r="J56" s="53" t="str">
        <x:v>B 影像量化器＋A 指南引擎</x:v>
      </x:c>
      <x:c r="K56" s="53" t="str">
        <x:v>§9.1; Rec 135</x:v>
      </x:c>
      <x:c r="L56" s="53" t="str">
        <x:v>指南病种＋工程路由</x:v>
      </x:c>
      <x:c r="M56" s="53" t="str">
        <x:v>适合明确的简单随访场景</x:v>
      </x:c>
      <x:c r="N56" s="58" t="str">
        <x:v>待临床审核</x:v>
      </x:c>
      <x:c r="O56" s="53" t="str">
        <x:v>https://doi.org/10.1016/j.ejvs.2023.11.002</x:v>
      </x:c>
    </x:row>
    <x:row r="57" ht="49" customHeight="1">
      <x:c r="A57" s="53" t="str">
        <x:v>R053</x:v>
      </x:c>
      <x:c r="B57" s="53" t="str">
        <x:v>6 髂动脉瘤</x:v>
      </x:c>
      <x:c r="C57" s="53" t="str">
        <x:v>孤立性髂总动脉瘤≥40mm</x:v>
      </x:c>
      <x:c r="D57" s="53" t="str">
        <x:v>CIAA ≥40 mm|髂总动脉瘤达4cm|iliac aneurysm 40mm</x:v>
      </x:c>
      <x:c r="E57" s="53" t="str">
        <x:v>髂总动脉瘤且无症状，最大直径≥40mm</x:v>
      </x:c>
      <x:c r="F57" s="53" t="str">
        <x:v>未测直径或复杂型/合并AAA</x:v>
      </x:c>
      <x:c r="G57" s="60" t="str">
        <x:v>指南模式</x:v>
      </x:c>
      <x:c r="H57" s="53" t="str">
        <x:v>破裂/症状性急变→急诊</x:v>
      </x:c>
      <x:c r="I57" s="53" t="str">
        <x:v>需要IBD或髂内保留/入路复杂→复杂</x:v>
      </x:c>
      <x:c r="J57" s="53" t="str">
        <x:v>B 影像量化器＋A 指南引擎</x:v>
      </x:c>
      <x:c r="K57" s="53" t="str">
        <x:v>§9.1; Rec 135</x:v>
      </x:c>
      <x:c r="L57" s="53" t="str">
        <x:v>指南病种＋工程路由</x:v>
      </x:c>
      <x:c r="M57" s="53" t="str">
        <x:v>≥40mm为考虑修复评估，而非强制修复</x:v>
      </x:c>
      <x:c r="N57" s="58" t="str">
        <x:v>待临床审核</x:v>
      </x:c>
      <x:c r="O57" s="53" t="str">
        <x:v>https://doi.org/10.1016/j.ejvs.2023.11.002</x:v>
      </x:c>
    </x:row>
    <x:row r="58" ht="49" customHeight="1">
      <x:c r="A58" s="53" t="str">
        <x:v>R054</x:v>
      </x:c>
      <x:c r="B58" s="53" t="str">
        <x:v>6 髂动脉瘤</x:v>
      </x:c>
      <x:c r="C58" s="53" t="str">
        <x:v>孤立性髂内动脉瘤</x:v>
      </x:c>
      <x:c r="D58" s="53" t="str">
        <x:v>髂内动脉瘤|hypogastric aneurysm|IIAA|internal iliac aneurysm</x:v>
      </x:c>
      <x:c r="E58" s="53" t="str">
        <x:v>髂内动脉瘤确诊</x:v>
      </x:c>
      <x:c r="F58" s="53" t="str">
        <x:v>仅提及髂内动脉解剖未发现瘤</x:v>
      </x:c>
      <x:c r="G58" s="62" t="str">
        <x:v>复杂模式</x:v>
      </x:c>
      <x:c r="H58" s="53" t="str">
        <x:v>破裂/出血→急诊</x:v>
      </x:c>
      <x:c r="I58" s="53" t="str">
        <x:v>髂内保留/盆腔供血需个体化</x:v>
      </x:c>
      <x:c r="J58" s="53" t="str">
        <x:v>A 指南引擎＋B 影像量化器＋C 解剖评分器＋D 记忆检索器＋E 风险评估器</x:v>
      </x:c>
      <x:c r="K58" s="53" t="str">
        <x:v>§9</x:v>
      </x:c>
      <x:c r="L58" s="53" t="str">
        <x:v>指南病种＋工程路由</x:v>
      </x:c>
      <x:c r="M58" s="53" t="str">
        <x:v>与髂总/外动脉分开</x:v>
      </x:c>
      <x:c r="N58" s="58" t="str">
        <x:v>待临床审核</x:v>
      </x:c>
      <x:c r="O58" s="53" t="str">
        <x:v>https://doi.org/10.1016/j.ejvs.2023.11.002</x:v>
      </x:c>
    </x:row>
    <x:row r="59" ht="49" customHeight="1">
      <x:c r="A59" s="53" t="str">
        <x:v>R055</x:v>
      </x:c>
      <x:c r="B59" s="53" t="str">
        <x:v>6 髂动脉瘤</x:v>
      </x:c>
      <x:c r="C59" s="53" t="str">
        <x:v>孤立性髂外动脉瘤</x:v>
      </x:c>
      <x:c r="D59" s="53" t="str">
        <x:v>髂外动脉瘤|EIAA|external iliac aneurysm</x:v>
      </x:c>
      <x:c r="E59" s="53" t="str">
        <x:v>髂外动脉瘤确诊</x:v>
      </x:c>
      <x:c r="F59" s="53" t="str">
        <x:v>单纯髂外动脉狭窄不等于瘤</x:v>
      </x:c>
      <x:c r="G59" s="62" t="str">
        <x:v>复杂模式</x:v>
      </x:c>
      <x:c r="H59" s="53" t="str">
        <x:v>破裂/急缺血→急诊</x:v>
      </x:c>
      <x:c r="I59" s="53" t="str">
        <x:v>需评估重建方式</x:v>
      </x:c>
      <x:c r="J59" s="53" t="str">
        <x:v>A 指南引擎＋B 影像量化器＋C 解剖评分器＋D 记忆检索器＋E 风险评估器</x:v>
      </x:c>
      <x:c r="K59" s="53" t="str">
        <x:v>§9</x:v>
      </x:c>
      <x:c r="L59" s="53" t="str">
        <x:v>指南病种＋工程路由</x:v>
      </x:c>
      <x:c r="M59" s="53" t="str">
        <x:v>罕见解剖部位</x:v>
      </x:c>
      <x:c r="N59" s="58" t="str">
        <x:v>待临床审核</x:v>
      </x:c>
      <x:c r="O59" s="53" t="str">
        <x:v>https://doi.org/10.1016/j.ejvs.2023.11.002</x:v>
      </x:c>
    </x:row>
    <x:row r="60" ht="49" customHeight="1">
      <x:c r="A60" s="53" t="str">
        <x:v>R056</x:v>
      </x:c>
      <x:c r="B60" s="53" t="str">
        <x:v>6 髂动脉瘤</x:v>
      </x:c>
      <x:c r="C60" s="53" t="str">
        <x:v>双侧/多节段髂动脉瘤</x:v>
      </x:c>
      <x:c r="D60" s="53" t="str">
        <x:v>双侧髂动脉瘤|多节段髂动脉瘤|bilateral iliac aneurysms</x:v>
      </x:c>
      <x:c r="E60" s="53" t="str">
        <x:v>影像明确双侧或多个节段</x:v>
      </x:c>
      <x:c r="F60" s="53" t="str">
        <x:v>单侧孤立性简单病变</x:v>
      </x:c>
      <x:c r="G60" s="62" t="str">
        <x:v>复杂模式</x:v>
      </x:c>
      <x:c r="H60" s="53" t="str">
        <x:v>破裂/急缺血→急诊</x:v>
      </x:c>
      <x:c r="I60" s="53" t="str">
        <x:v>复杂解剖默认复杂</x:v>
      </x:c>
      <x:c r="J60" s="53" t="str">
        <x:v>A 指南引擎＋B 影像量化器＋C 解剖评分器＋D 记忆检索器＋E 风险评估器</x:v>
      </x:c>
      <x:c r="K60" s="53" t="str">
        <x:v>§9</x:v>
      </x:c>
      <x:c r="L60" s="53" t="str">
        <x:v>指南病种＋工程路由</x:v>
      </x:c>
      <x:c r="M60" s="53" t="str">
        <x:v>可能影响盆腔灌注</x:v>
      </x:c>
      <x:c r="N60" s="58" t="str">
        <x:v>待临床审核</x:v>
      </x:c>
      <x:c r="O60" s="53" t="str">
        <x:v>https://doi.org/10.1016/j.ejvs.2023.11.002</x:v>
      </x:c>
    </x:row>
    <x:row r="61" ht="49" customHeight="1">
      <x:c r="A61" s="53" t="str">
        <x:v>R057</x:v>
      </x:c>
      <x:c r="B61" s="53" t="str">
        <x:v>6 髂动脉瘤</x:v>
      </x:c>
      <x:c r="C61" s="53" t="str">
        <x:v>腹主动脉-髂动脉联合动脉瘤</x:v>
      </x:c>
      <x:c r="D61" s="53" t="str">
        <x:v>主动脉髂动脉瘤|aortoiliac aneurysm|AAA伴髂动脉瘤</x:v>
      </x:c>
      <x:c r="E61" s="53" t="str">
        <x:v>AAA和髂动脉瘤同时存在</x:v>
      </x:c>
      <x:c r="F61" s="53" t="str">
        <x:v>仅AAA邻近髂动脉但无髂瘤</x:v>
      </x:c>
      <x:c r="G61" s="62" t="str">
        <x:v>复杂模式</x:v>
      </x:c>
      <x:c r="H61" s="53" t="str">
        <x:v>破裂/急症→急诊</x:v>
      </x:c>
      <x:c r="I61" s="53" t="str">
        <x:v>髂端密封和盆腔灌注重要</x:v>
      </x:c>
      <x:c r="J61" s="53" t="str">
        <x:v>A 指南引擎＋B 影像量化器＋C 解剖评分器＋D 记忆检索器＋E 风险评估器</x:v>
      </x:c>
      <x:c r="K61" s="53" t="str">
        <x:v>§9; §5</x:v>
      </x:c>
      <x:c r="L61" s="53" t="str">
        <x:v>指南病种＋工程路由</x:v>
      </x:c>
      <x:c r="M61" s="53" t="str">
        <x:v>与主AAA分类双标签</x:v>
      </x:c>
      <x:c r="N61" s="58" t="str">
        <x:v>待临床审核</x:v>
      </x:c>
      <x:c r="O61" s="53" t="str">
        <x:v>https://doi.org/10.1016/j.ejvs.2023.11.002</x:v>
      </x:c>
    </x:row>
    <x:row r="62" ht="49" customHeight="1">
      <x:c r="A62" s="53" t="str">
        <x:v>R058</x:v>
      </x:c>
      <x:c r="B62" s="53" t="str">
        <x:v>6 髂动脉瘤</x:v>
      </x:c>
      <x:c r="C62" s="53" t="str">
        <x:v>症状性髂动脉瘤</x:v>
      </x:c>
      <x:c r="D62" s="53" t="str">
        <x:v>症状性髂动脉瘤|symptomatic iliac aneurysm|髂瘤压迫症状</x:v>
      </x:c>
      <x:c r="E62" s="53" t="str">
        <x:v>有髂动脉瘤且临床归因相关症状</x:v>
      </x:c>
      <x:c r="F62" s="53" t="str">
        <x:v>既往症状或无关原因</x:v>
      </x:c>
      <x:c r="G62" s="64" t="str">
        <x:v>急诊模式</x:v>
      </x:c>
      <x:c r="H62" s="53" t="str">
        <x:v>急诊评估优先</x:v>
      </x:c>
      <x:c r="I62" s="53" t="str">
        <x:v>可额外标注具体髂段</x:v>
      </x:c>
      <x:c r="J62" s="53" t="str">
        <x:v>启动急诊应急预案；暂缓常规工具调度（急诊专属工具未在原图指定）</x:v>
      </x:c>
      <x:c r="K62" s="53" t="str">
        <x:v>§9（扩展急诊安全规则）</x:v>
      </x:c>
      <x:c r="L62" s="53" t="str">
        <x:v>指南病种＋工程路由</x:v>
      </x:c>
      <x:c r="M62" s="53" t="str">
        <x:v>高优先级非一律立刻手术</x:v>
      </x:c>
      <x:c r="N62" s="58" t="str">
        <x:v>待临床审核</x:v>
      </x:c>
      <x:c r="O62" s="53" t="str">
        <x:v>https://doi.org/10.1016/j.ejvs.2023.11.002</x:v>
      </x:c>
    </x:row>
    <x:row r="63" ht="49" customHeight="1">
      <x:c r="A63" s="53" t="str">
        <x:v>R059</x:v>
      </x:c>
      <x:c r="B63" s="53" t="str">
        <x:v>6 髂动脉瘤</x:v>
      </x:c>
      <x:c r="C63" s="53" t="str">
        <x:v>术后髂动脉重建并发症</x:v>
      </x:c>
      <x:c r="D63" s="53" t="str">
        <x:v>髂支支架闭塞|iliac branch occlusion|IBD endoleak</x:v>
      </x:c>
      <x:c r="E63" s="53" t="str">
        <x:v>既往髂动脉重建且存在通畅性/内漏等问题</x:v>
      </x:c>
      <x:c r="F63" s="53" t="str">
        <x:v>仅术前动脉瘤</x:v>
      </x:c>
      <x:c r="G63" s="62" t="str">
        <x:v>复杂模式</x:v>
      </x:c>
      <x:c r="H63" s="53" t="str">
        <x:v>急性缺血/破裂→急诊</x:v>
      </x:c>
      <x:c r="I63" s="53" t="str">
        <x:v>并行第7类修复术后</x:v>
      </x:c>
      <x:c r="J63" s="53" t="str">
        <x:v>A 指南引擎＋B 影像量化器＋C 解剖评分器＋D 记忆检索器＋E 风险评估器</x:v>
      </x:c>
      <x:c r="K63" s="53" t="str">
        <x:v>§9.3; §7</x:v>
      </x:c>
      <x:c r="L63" s="53" t="str">
        <x:v>指南病种＋工程路由</x:v>
      </x:c>
      <x:c r="M63" s="53" t="str">
        <x:v>术后路径适配</x:v>
      </x:c>
      <x:c r="N63" s="58" t="str">
        <x:v>待临床审核</x:v>
      </x:c>
      <x:c r="O63" s="53" t="str">
        <x:v>https://doi.org/10.1016/j.ejvs.2023.11.002</x:v>
      </x:c>
    </x:row>
    <x:row r="64" ht="49" customHeight="1">
      <x:c r="A64" s="53" t="str">
        <x:v>R060</x:v>
      </x:c>
      <x:c r="B64" s="53" t="str">
        <x:v>7 AAA术后状态/并发症</x:v>
      </x:c>
      <x:c r="C64" s="53" t="str">
        <x:v>EVAR术后无并发症随访</x:v>
      </x:c>
      <x:c r="D64" s="53" t="str">
        <x:v>EVAR术后复查|EVAR常规随访|uncomplicated EVAR follow-up</x:v>
      </x:c>
      <x:c r="E64" s="53" t="str">
        <x:v>已完成EVAR AND 无内漏/瘤囊增大/移位/狭窄/感染等提示</x:v>
      </x:c>
      <x:c r="F64" s="53" t="str">
        <x:v>任何明确危险术后异常</x:v>
      </x:c>
      <x:c r="G64" s="60" t="str">
        <x:v>指南模式</x:v>
      </x:c>
      <x:c r="H64" s="53" t="str">
        <x:v>术后破裂/大出血/急缺血→急诊</x:v>
      </x:c>
      <x:c r="I64" s="53" t="str">
        <x:v>复杂修复、资料不齐→复杂</x:v>
      </x:c>
      <x:c r="J64" s="53" t="str">
        <x:v>B 影像量化器＋A 指南引擎</x:v>
      </x:c>
      <x:c r="K64" s="53" t="str">
        <x:v>§7.4</x:v>
      </x:c>
      <x:c r="L64" s="53" t="str">
        <x:v>指南病种＋工程路由</x:v>
      </x:c>
      <x:c r="M64" s="53" t="str">
        <x:v>使用术后随访规则；不得套用术前瘤颈阈值</x:v>
      </x:c>
      <x:c r="N64" s="58" t="str">
        <x:v>待临床审核</x:v>
      </x:c>
      <x:c r="O64" s="53" t="str">
        <x:v>https://doi.org/10.1016/j.ejvs.2023.11.002</x:v>
      </x:c>
    </x:row>
    <x:row r="65" ht="49" customHeight="1">
      <x:c r="A65" s="53" t="str">
        <x:v>R061</x:v>
      </x:c>
      <x:c r="B65" s="53" t="str">
        <x:v>7 AAA术后状态/并发症</x:v>
      </x:c>
      <x:c r="C65" s="53" t="str">
        <x:v>OSR术后无并发症随访</x:v>
      </x:c>
      <x:c r="D65" s="53" t="str">
        <x:v>OSR术后复查|开放修复术后随访|uncomplicated open repair follow-up</x:v>
      </x:c>
      <x:c r="E65" s="53" t="str">
        <x:v>已完成开放修复 AND 无术后新病变及并发症</x:v>
      </x:c>
      <x:c r="F65" s="53" t="str">
        <x:v>疑似吻合口假性瘤、感染、血管闭塞</x:v>
      </x:c>
      <x:c r="G65" s="60" t="str">
        <x:v>指南模式</x:v>
      </x:c>
      <x:c r="H65" s="53" t="str">
        <x:v>出血/急缺血/休克→急诊</x:v>
      </x:c>
      <x:c r="I65" s="53" t="str">
        <x:v>难以确定手术史→复杂</x:v>
      </x:c>
      <x:c r="J65" s="53" t="str">
        <x:v>B 影像量化器＋A 指南引擎</x:v>
      </x:c>
      <x:c r="K65" s="53" t="str">
        <x:v>§7.3</x:v>
      </x:c>
      <x:c r="L65" s="53" t="str">
        <x:v>指南病种＋工程路由</x:v>
      </x:c>
      <x:c r="M65" s="53" t="str">
        <x:v>与EVAR随访不同</x:v>
      </x:c>
      <x:c r="N65" s="58" t="str">
        <x:v>待临床审核</x:v>
      </x:c>
      <x:c r="O65" s="53" t="str">
        <x:v>https://doi.org/10.1016/j.ejvs.2023.11.002</x:v>
      </x:c>
    </x:row>
    <x:row r="66" ht="49" customHeight="1">
      <x:c r="A66" s="53" t="str">
        <x:v>R062</x:v>
      </x:c>
      <x:c r="B66" s="53" t="str">
        <x:v>7 AAA术后状态/并发症</x:v>
      </x:c>
      <x:c r="C66" s="53" t="str">
        <x:v>复杂AAA修复术后随访</x:v>
      </x:c>
      <x:c r="D66" s="53" t="str">
        <x:v>FEVAR术后|BEVAR术后|开窗支架术后|branched endograft follow-up</x:v>
      </x:c>
      <x:c r="E66" s="53" t="str">
        <x:v>存在复杂重建/内脏分支桥接血管</x:v>
      </x:c>
      <x:c r="F66" s="53" t="str">
        <x:v>常规简单标准EVAR可转普通随访</x:v>
      </x:c>
      <x:c r="G66" s="62" t="str">
        <x:v>复杂模式</x:v>
      </x:c>
      <x:c r="H66" s="53" t="str">
        <x:v>桥接支架急闭塞/器官缺血→急诊</x:v>
      </x:c>
      <x:c r="I66" s="53" t="str">
        <x:v>涉及分支通畅和复杂成像</x:v>
      </x:c>
      <x:c r="J66" s="53" t="str">
        <x:v>A 指南引擎＋B 影像量化器＋C 解剖评分器＋D 记忆检索器＋E 风险评估器</x:v>
      </x:c>
      <x:c r="K66" s="53" t="str">
        <x:v>§8.6</x:v>
      </x:c>
      <x:c r="L66" s="53" t="str">
        <x:v>指南病种＋工程路由</x:v>
      </x:c>
      <x:c r="M66" s="53" t="str">
        <x:v>即使无并发症，常规较复杂</x:v>
      </x:c>
      <x:c r="N66" s="58" t="str">
        <x:v>待临床审核</x:v>
      </x:c>
      <x:c r="O66" s="53" t="str">
        <x:v>https://doi.org/10.1016/j.ejvs.2023.11.002</x:v>
      </x:c>
    </x:row>
    <x:row r="67" ht="49" customHeight="1">
      <x:c r="A67" s="53" t="str">
        <x:v>R063</x:v>
      </x:c>
      <x:c r="B67" s="53" t="str">
        <x:v>7 AAA术后状态/并发症</x:v>
      </x:c>
      <x:c r="C67" s="53" t="str">
        <x:v>I型内漏 Ia</x:v>
      </x:c>
      <x:c r="D67" s="53" t="str">
        <x:v>Ⅰa型内漏|Type Ia endoleak|近端内漏|proximal type I leak</x:v>
      </x:c>
      <x:c r="E67" s="53" t="str">
        <x:v>既往EVAR AND 近端密封失败证据</x:v>
      </x:c>
      <x:c r="F67" s="53" t="str">
        <x:v>否认内漏；仅曾修复已解决</x:v>
      </x:c>
      <x:c r="G67" s="62" t="str">
        <x:v>复杂模式</x:v>
      </x:c>
      <x:c r="H67" s="53" t="str">
        <x:v>破裂/血流动力学不稳→急诊</x:v>
      </x:c>
      <x:c r="I67" s="53" t="str">
        <x:v>高危内漏</x:v>
      </x:c>
      <x:c r="J67" s="53" t="str">
        <x:v>A 指南引擎＋B 影像量化器＋C 解剖评分器＋D 记忆检索器＋E 风险评估器</x:v>
      </x:c>
      <x:c r="K67" s="53" t="str">
        <x:v>§7.2.6.1; Table 20</x:v>
      </x:c>
      <x:c r="L67" s="53" t="str">
        <x:v>指南病种＋工程路由</x:v>
      </x:c>
      <x:c r="M67" s="53" t="str">
        <x:v>不能和II型内漏相同路径</x:v>
      </x:c>
      <x:c r="N67" s="58" t="str">
        <x:v>待临床审核</x:v>
      </x:c>
      <x:c r="O67" s="53" t="str">
        <x:v>https://doi.org/10.1016/j.ejvs.2023.11.002</x:v>
      </x:c>
    </x:row>
    <x:row r="68" ht="49" customHeight="1">
      <x:c r="A68" s="53" t="str">
        <x:v>R064</x:v>
      </x:c>
      <x:c r="B68" s="53" t="str">
        <x:v>7 AAA术后状态/并发症</x:v>
      </x:c>
      <x:c r="C68" s="53" t="str">
        <x:v>I型内漏 Ib/Ic</x:v>
      </x:c>
      <x:c r="D68" s="53" t="str">
        <x:v>Ⅰb型内漏|Ⅰc型内漏|Type Ib endoleak|Type Ic endoleak</x:v>
      </x:c>
      <x:c r="E68" s="53" t="str">
        <x:v>既往EVAR AND 远端密封失败/髂封堵处漏</x:v>
      </x:c>
      <x:c r="F68" s="53" t="str">
        <x:v>无证据的复查记录</x:v>
      </x:c>
      <x:c r="G68" s="62" t="str">
        <x:v>复杂模式</x:v>
      </x:c>
      <x:c r="H68" s="53" t="str">
        <x:v>破裂/血肿/低血压→急诊</x:v>
      </x:c>
      <x:c r="I68" s="53" t="str">
        <x:v>高危密封失败</x:v>
      </x:c>
      <x:c r="J68" s="53" t="str">
        <x:v>A 指南引擎＋B 影像量化器＋C 解剖评分器＋D 记忆检索器＋E 风险评估器</x:v>
      </x:c>
      <x:c r="K68" s="53" t="str">
        <x:v>§7.2.6.1; Table 20</x:v>
      </x:c>
      <x:c r="L68" s="53" t="str">
        <x:v>指南病种＋工程路由</x:v>
      </x:c>
      <x:c r="M68" s="53" t="str">
        <x:v>部分类型与支架结构相关</x:v>
      </x:c>
      <x:c r="N68" s="58" t="str">
        <x:v>待临床审核</x:v>
      </x:c>
      <x:c r="O68" s="53" t="str">
        <x:v>https://doi.org/10.1016/j.ejvs.2023.11.002</x:v>
      </x:c>
    </x:row>
    <x:row r="69" ht="49" customHeight="1">
      <x:c r="A69" s="53" t="str">
        <x:v>R065</x:v>
      </x:c>
      <x:c r="B69" s="53" t="str">
        <x:v>7 AAA术后状态/并发症</x:v>
      </x:c>
      <x:c r="C69" s="53" t="str">
        <x:v>II型内漏瘤囊稳定</x:v>
      </x:c>
      <x:c r="D69" s="53" t="str">
        <x:v>Ⅱ型内漏|Type II endoleak|腰动脉逆流内漏|IMA endoleak</x:v>
      </x:c>
      <x:c r="E69" s="53" t="str">
        <x:v>EVAR AND 确诊II型内漏 AND 瘤囊稳定或缩小 AND 无其他异常</x:v>
      </x:c>
      <x:c r="F69" s="53" t="str">
        <x:v>瘤囊增大、无法排除I/III型内漏</x:v>
      </x:c>
      <x:c r="G69" s="60" t="str">
        <x:v>指南模式</x:v>
      </x:c>
      <x:c r="H69" s="53" t="str">
        <x:v>破裂/急症→急诊</x:v>
      </x:c>
      <x:c r="I69" s="53" t="str">
        <x:v>持续不明、瘤囊增大/共存其他内漏→复杂</x:v>
      </x:c>
      <x:c r="J69" s="53" t="str">
        <x:v>B 影像量化器＋A 指南引擎</x:v>
      </x:c>
      <x:c r="K69" s="53" t="str">
        <x:v>§7.2.6.2</x:v>
      </x:c>
      <x:c r="L69" s="53" t="str">
        <x:v>指南病种＋工程路由</x:v>
      </x:c>
      <x:c r="M69" s="53" t="str">
        <x:v>仅严格稳定患者可走指南模式；其余复杂</x:v>
      </x:c>
      <x:c r="N69" s="58" t="str">
        <x:v>待临床审核</x:v>
      </x:c>
      <x:c r="O69" s="53" t="str">
        <x:v>https://doi.org/10.1016/j.ejvs.2023.11.002</x:v>
      </x:c>
    </x:row>
    <x:row r="70" ht="49" customHeight="1">
      <x:c r="A70" s="53" t="str">
        <x:v>R066</x:v>
      </x:c>
      <x:c r="B70" s="53" t="str">
        <x:v>7 AAA术后状态/并发症</x:v>
      </x:c>
      <x:c r="C70" s="53" t="str">
        <x:v>II型内漏伴瘤囊增大</x:v>
      </x:c>
      <x:c r="D70" s="53" t="str">
        <x:v>Ⅱ型内漏伴瘤囊增大|Type II endoleak with sac expansion</x:v>
      </x:c>
      <x:c r="E70" s="53" t="str">
        <x:v>EVAR AND II型内漏 AND 客观记录瘤囊增大</x:v>
      </x:c>
      <x:c r="F70" s="53" t="str">
        <x:v>无客观变化、测量误差未排除</x:v>
      </x:c>
      <x:c r="G70" s="62" t="str">
        <x:v>复杂模式</x:v>
      </x:c>
      <x:c r="H70" s="53" t="str">
        <x:v>破裂/出血→急诊</x:v>
      </x:c>
      <x:c r="I70" s="53" t="str">
        <x:v>需排除隐匿性I/III型漏</x:v>
      </x:c>
      <x:c r="J70" s="53" t="str">
        <x:v>A 指南引擎＋B 影像量化器＋C 解剖评分器＋D 记忆检索器＋E 风险评估器</x:v>
      </x:c>
      <x:c r="K70" s="53" t="str">
        <x:v>§7.2.6.2; §7.4.3</x:v>
      </x:c>
      <x:c r="L70" s="53" t="str">
        <x:v>指南病种＋工程路由</x:v>
      </x:c>
      <x:c r="M70" s="53" t="str">
        <x:v>进一步影像诊断分层</x:v>
      </x:c>
      <x:c r="N70" s="58" t="str">
        <x:v>待临床审核</x:v>
      </x:c>
      <x:c r="O70" s="53" t="str">
        <x:v>https://doi.org/10.1016/j.ejvs.2023.11.002</x:v>
      </x:c>
    </x:row>
    <x:row r="71" ht="49" customHeight="1">
      <x:c r="A71" s="53" t="str">
        <x:v>R067</x:v>
      </x:c>
      <x:c r="B71" s="53" t="str">
        <x:v>7 AAA术后状态/并发症</x:v>
      </x:c>
      <x:c r="C71" s="53" t="str">
        <x:v>III型内漏 IIIa</x:v>
      </x:c>
      <x:c r="D71" s="53" t="str">
        <x:v>Ⅲa型内漏|Type IIIa endoleak|组件分离|graft component separation</x:v>
      </x:c>
      <x:c r="E71" s="53" t="str">
        <x:v>既往EVAR AND 组件分离/对接处漏</x:v>
      </x:c>
      <x:c r="F71" s="53" t="str">
        <x:v>分支/支架连接部位正常且否认内漏</x:v>
      </x:c>
      <x:c r="G71" s="62" t="str">
        <x:v>复杂模式</x:v>
      </x:c>
      <x:c r="H71" s="53" t="str">
        <x:v>破裂/出血→急诊</x:v>
      </x:c>
      <x:c r="I71" s="53" t="str">
        <x:v>高危内漏</x:v>
      </x:c>
      <x:c r="J71" s="53" t="str">
        <x:v>A 指南引擎＋B 影像量化器＋C 解剖评分器＋D 记忆检索器＋E 风险评估器</x:v>
      </x:c>
      <x:c r="K71" s="53" t="str">
        <x:v>§7.2.6.3; Table 20</x:v>
      </x:c>
      <x:c r="L71" s="53" t="str">
        <x:v>指南病种＋工程路由</x:v>
      </x:c>
      <x:c r="M71" s="53" t="str">
        <x:v>不应归为常规随访</x:v>
      </x:c>
      <x:c r="N71" s="58" t="str">
        <x:v>待临床审核</x:v>
      </x:c>
      <x:c r="O71" s="53" t="str">
        <x:v>https://doi.org/10.1016/j.ejvs.2023.11.002</x:v>
      </x:c>
    </x:row>
    <x:row r="72" ht="49" customHeight="1">
      <x:c r="A72" s="53" t="str">
        <x:v>R068</x:v>
      </x:c>
      <x:c r="B72" s="53" t="str">
        <x:v>7 AAA术后状态/并发症</x:v>
      </x:c>
      <x:c r="C72" s="53" t="str">
        <x:v>III型内漏 IIIb</x:v>
      </x:c>
      <x:c r="D72" s="53" t="str">
        <x:v>Ⅲb型内漏|Type IIIb endoleak|覆膜撕裂|graft fabric disruption</x:v>
      </x:c>
      <x:c r="E72" s="53" t="str">
        <x:v>既往EVAR AND 覆膜缺损/支架材料破坏导致内漏</x:v>
      </x:c>
      <x:c r="F72" s="53" t="str">
        <x:v>仅轻微支架折曲无内漏</x:v>
      </x:c>
      <x:c r="G72" s="62" t="str">
        <x:v>复杂模式</x:v>
      </x:c>
      <x:c r="H72" s="53" t="str">
        <x:v>破裂/活动性出血→急诊</x:v>
      </x:c>
      <x:c r="I72" s="53" t="str">
        <x:v>高危内漏</x:v>
      </x:c>
      <x:c r="J72" s="53" t="str">
        <x:v>A 指南引擎＋B 影像量化器＋C 解剖评分器＋D 记忆检索器＋E 风险评估器</x:v>
      </x:c>
      <x:c r="K72" s="53" t="str">
        <x:v>§7.2.6.3; Table 20</x:v>
      </x:c>
      <x:c r="L72" s="53" t="str">
        <x:v>指南病种＋工程路由</x:v>
      </x:c>
      <x:c r="M72" s="53" t="str">
        <x:v>核实影像所见</x:v>
      </x:c>
      <x:c r="N72" s="58" t="str">
        <x:v>待临床审核</x:v>
      </x:c>
      <x:c r="O72" s="53" t="str">
        <x:v>https://doi.org/10.1016/j.ejvs.2023.11.002</x:v>
      </x:c>
    </x:row>
    <x:row r="73" ht="49" customHeight="1">
      <x:c r="A73" s="53" t="str">
        <x:v>R069</x:v>
      </x:c>
      <x:c r="B73" s="53" t="str">
        <x:v>7 AAA术后状态/并发症</x:v>
      </x:c>
      <x:c r="C73" s="53" t="str">
        <x:v>IV型内漏</x:v>
      </x:c>
      <x:c r="D73" s="53" t="str">
        <x:v>Ⅳ型内漏|Type IV endoleak|支架孔隙渗漏|graft porosity</x:v>
      </x:c>
      <x:c r="E73" s="53" t="str">
        <x:v>EVAR AND 术者/影像判断IV型内漏</x:v>
      </x:c>
      <x:c r="F73" s="53" t="str">
        <x:v>仅不明渗漏；术后较晚时期未排除其他原因</x:v>
      </x:c>
      <x:c r="G73" s="62" t="str">
        <x:v>复杂模式</x:v>
      </x:c>
      <x:c r="H73" s="53" t="str">
        <x:v>活动性出血/血肿→急诊</x:v>
      </x:c>
      <x:c r="I73" s="53" t="str">
        <x:v>需要确认是否与器械相关</x:v>
      </x:c>
      <x:c r="J73" s="53" t="str">
        <x:v>A 指南引擎＋B 影像量化器＋C 解剖评分器＋D 记忆检索器＋E 风险评估器</x:v>
      </x:c>
      <x:c r="K73" s="53" t="str">
        <x:v>§7.2.6.4; Table 20</x:v>
      </x:c>
      <x:c r="L73" s="53" t="str">
        <x:v>指南病种＋工程路由</x:v>
      </x:c>
      <x:c r="M73" s="53" t="str">
        <x:v>罕见且易误分类，须复核</x:v>
      </x:c>
      <x:c r="N73" s="58" t="str">
        <x:v>待临床审核</x:v>
      </x:c>
      <x:c r="O73" s="53" t="str">
        <x:v>https://doi.org/10.1016/j.ejvs.2023.11.002</x:v>
      </x:c>
    </x:row>
    <x:row r="74" ht="49" customHeight="1">
      <x:c r="A74" s="53" t="str">
        <x:v>R070</x:v>
      </x:c>
      <x:c r="B74" s="53" t="str">
        <x:v>7 AAA术后状态/并发症</x:v>
      </x:c>
      <x:c r="C74" s="53" t="str">
        <x:v>不明类型内漏</x:v>
      </x:c>
      <x:c r="D74" s="53" t="str">
        <x:v>不明类型内漏|undetermined endoleak|occult endoleak</x:v>
      </x:c>
      <x:c r="E74" s="53" t="str">
        <x:v>EVAR术后确有内漏证据但尚未明确类型</x:v>
      </x:c>
      <x:c r="F74" s="53" t="str">
        <x:v>明确为某一种类型者应走对应条目</x:v>
      </x:c>
      <x:c r="G74" s="62" t="str">
        <x:v>复杂模式</x:v>
      </x:c>
      <x:c r="H74" s="53" t="str">
        <x:v>破裂/活动性出血→急诊</x:v>
      </x:c>
      <x:c r="I74" s="53" t="str">
        <x:v>多模态复查/疑难诊断</x:v>
      </x:c>
      <x:c r="J74" s="53" t="str">
        <x:v>A 指南引擎＋B 影像量化器＋C 解剖评分器＋D 记忆检索器＋E 风险评估器</x:v>
      </x:c>
      <x:c r="K74" s="53" t="str">
        <x:v>§7.4.3; Table 20</x:v>
      </x:c>
      <x:c r="L74" s="53" t="str">
        <x:v>指南病种＋工程路由</x:v>
      </x:c>
      <x:c r="M74" s="53" t="str">
        <x:v>未能定型不自动判II型</x:v>
      </x:c>
      <x:c r="N74" s="58" t="str">
        <x:v>待临床审核</x:v>
      </x:c>
      <x:c r="O74" s="53" t="str">
        <x:v>https://doi.org/10.1016/j.ejvs.2023.11.002</x:v>
      </x:c>
    </x:row>
    <x:row r="75" ht="49" customHeight="1">
      <x:c r="A75" s="53" t="str">
        <x:v>R071</x:v>
      </x:c>
      <x:c r="B75" s="53" t="str">
        <x:v>7 AAA术后状态/并发症</x:v>
      </x:c>
      <x:c r="C75" s="53" t="str">
        <x:v>无内漏而瘤囊增大</x:v>
      </x:c>
      <x:c r="D75" s="53" t="str">
        <x:v>无可见内漏瘤囊增大|post-EVAR sac growth without endoleak|endotension</x:v>
      </x:c>
      <x:c r="E75" s="53" t="str">
        <x:v>EVAR AND 瘤囊客观增大 AND 当前未见明确内漏</x:v>
      </x:c>
      <x:c r="F75" s="53" t="str">
        <x:v>瘤囊稳定或缩小；不同影像方法测量偏差</x:v>
      </x:c>
      <x:c r="G75" s="62" t="str">
        <x:v>复杂模式</x:v>
      </x:c>
      <x:c r="H75" s="53" t="str">
        <x:v>破裂/血肿→急诊</x:v>
      </x:c>
      <x:c r="I75" s="53" t="str">
        <x:v>需要排除隐匿内漏和结构失败</x:v>
      </x:c>
      <x:c r="J75" s="53" t="str">
        <x:v>A 指南引擎＋B 影像量化器＋C 解剖评分器＋D 记忆检索器＋E 风险评估器</x:v>
      </x:c>
      <x:c r="K75" s="53" t="str">
        <x:v>§7.2.6.5; §7.4.3</x:v>
      </x:c>
      <x:c r="L75" s="53" t="str">
        <x:v>指南病种＋工程路由</x:v>
      </x:c>
      <x:c r="M75" s="53" t="str">
        <x:v>endotension仅作检索术语，不直接当作独立明确病因</x:v>
      </x:c>
      <x:c r="N75" s="58" t="str">
        <x:v>待临床审核</x:v>
      </x:c>
      <x:c r="O75" s="53" t="str">
        <x:v>https://doi.org/10.1016/j.ejvs.2023.11.002</x:v>
      </x:c>
    </x:row>
    <x:row r="76" ht="49" customHeight="1">
      <x:c r="A76" s="53" t="str">
        <x:v>R072</x:v>
      </x:c>
      <x:c r="B76" s="53" t="str">
        <x:v>7 AAA术后状态/并发症</x:v>
      </x:c>
      <x:c r="C76" s="53" t="str">
        <x:v>支架移位</x:v>
      </x:c>
      <x:c r="D76" s="53" t="str">
        <x:v>支架移位|endograft migration|stent graft migration</x:v>
      </x:c>
      <x:c r="E76" s="53" t="str">
        <x:v>EVAR且影像证实移位</x:v>
      </x:c>
      <x:c r="F76" s="53" t="str">
        <x:v>植入时定位正常不等于后续移位</x:v>
      </x:c>
      <x:c r="G76" s="62" t="str">
        <x:v>复杂模式</x:v>
      </x:c>
      <x:c r="H76" s="53" t="str">
        <x:v>破裂/新发I型内漏伴不稳定→急诊</x:v>
      </x:c>
      <x:c r="I76" s="53" t="str">
        <x:v>锚定区可能失效</x:v>
      </x:c>
      <x:c r="J76" s="53" t="str">
        <x:v>A 指南引擎＋B 影像量化器＋C 解剖评分器＋D 记忆检索器＋E 风险评估器</x:v>
      </x:c>
      <x:c r="K76" s="53" t="str">
        <x:v>§7.2.7</x:v>
      </x:c>
      <x:c r="L76" s="53" t="str">
        <x:v>指南病种＋工程路由</x:v>
      </x:c>
      <x:c r="M76" s="53" t="str">
        <x:v>要结合密封情况</x:v>
      </x:c>
      <x:c r="N76" s="58" t="str">
        <x:v>待临床审核</x:v>
      </x:c>
      <x:c r="O76" s="53" t="str">
        <x:v>https://doi.org/10.1016/j.ejvs.2023.11.002</x:v>
      </x:c>
    </x:row>
    <x:row r="77" ht="49" customHeight="1">
      <x:c r="A77" s="53" t="str">
        <x:v>R073</x:v>
      </x:c>
      <x:c r="B77" s="53" t="str">
        <x:v>7 AAA术后状态/并发症</x:v>
      </x:c>
      <x:c r="C77" s="53" t="str">
        <x:v>近端或远端锚定/密封区丧失</x:v>
      </x:c>
      <x:c r="D77" s="53" t="str">
        <x:v>近端密封区失效|loss of proximal seal|distal seal failure</x:v>
      </x:c>
      <x:c r="E77" s="53" t="str">
        <x:v>EVAR且密封区客观异常</x:v>
      </x:c>
      <x:c r="F77" s="53" t="str">
        <x:v>术前不良瘤颈但尚未实施EVAR</x:v>
      </x:c>
      <x:c r="G77" s="62" t="str">
        <x:v>复杂模式</x:v>
      </x:c>
      <x:c r="H77" s="53" t="str">
        <x:v>急性出血/破裂→急诊</x:v>
      </x:c>
      <x:c r="I77" s="53" t="str">
        <x:v>可能即使无明显内漏</x:v>
      </x:c>
      <x:c r="J77" s="53" t="str">
        <x:v>A 指南引擎＋B 影像量化器＋C 解剖评分器＋D 记忆检索器＋E 风险评估器</x:v>
      </x:c>
      <x:c r="K77" s="53" t="str">
        <x:v>§7.2.6; Rec 104–106</x:v>
      </x:c>
      <x:c r="L77" s="53" t="str">
        <x:v>指南病种＋工程路由</x:v>
      </x:c>
      <x:c r="M77" s="53" t="str">
        <x:v>不同于单纯支架移位</x:v>
      </x:c>
      <x:c r="N77" s="58" t="str">
        <x:v>待临床审核</x:v>
      </x:c>
      <x:c r="O77" s="53" t="str">
        <x:v>https://doi.org/10.1016/j.ejvs.2023.11.002</x:v>
      </x:c>
    </x:row>
    <x:row r="78" ht="49" customHeight="1">
      <x:c r="A78" s="53" t="str">
        <x:v>R074</x:v>
      </x:c>
      <x:c r="B78" s="53" t="str">
        <x:v>7 AAA术后状态/并发症</x:v>
      </x:c>
      <x:c r="C78" s="53" t="str">
        <x:v>支架折曲/狭窄</x:v>
      </x:c>
      <x:c r="D78" s="53" t="str">
        <x:v>支架折曲|支架狭窄|graft kinking|graft stenosis</x:v>
      </x:c>
      <x:c r="E78" s="53" t="str">
        <x:v>EVAR且血流异常或影像明确折曲狭窄</x:v>
      </x:c>
      <x:c r="F78" s="53" t="str">
        <x:v>无血流影响的描述应谨慎评估严重性</x:v>
      </x:c>
      <x:c r="G78" s="62" t="str">
        <x:v>复杂模式</x:v>
      </x:c>
      <x:c r="H78" s="53" t="str">
        <x:v>急性肢体缺血→急诊</x:v>
      </x:c>
      <x:c r="I78" s="53" t="str">
        <x:v>评估分支和入路</x:v>
      </x:c>
      <x:c r="J78" s="53" t="str">
        <x:v>A 指南引擎＋B 影像量化器＋C 解剖评分器＋D 记忆检索器＋E 风险评估器</x:v>
      </x:c>
      <x:c r="K78" s="53" t="str">
        <x:v>§7.2.1; Table 20</x:v>
      </x:c>
      <x:c r="L78" s="53" t="str">
        <x:v>指南病种＋工程路由</x:v>
      </x:c>
      <x:c r="M78" s="53" t="str">
        <x:v>血流动力学显著程度应另外记录</x:v>
      </x:c>
      <x:c r="N78" s="58" t="str">
        <x:v>待临床审核</x:v>
      </x:c>
      <x:c r="O78" s="53" t="str">
        <x:v>https://doi.org/10.1016/j.ejvs.2023.11.002</x:v>
      </x:c>
    </x:row>
    <x:row r="79" ht="49" customHeight="1">
      <x:c r="A79" s="53" t="str">
        <x:v>R075</x:v>
      </x:c>
      <x:c r="B79" s="53" t="str">
        <x:v>7 AAA术后状态/并发症</x:v>
      </x:c>
      <x:c r="C79" s="53" t="str">
        <x:v>支架血栓形成</x:v>
      </x:c>
      <x:c r="D79" s="53" t="str">
        <x:v>支架内血栓|intragraft thrombus|mural thrombus in stent graft</x:v>
      </x:c>
      <x:c r="E79" s="53" t="str">
        <x:v>EVAR且明确支架血栓；症状/进展/血流影响需量化</x:v>
      </x:c>
      <x:c r="F79" s="53" t="str">
        <x:v>无症状稳定少量贴壁血栓不能等于闭塞</x:v>
      </x:c>
      <x:c r="G79" s="62" t="str">
        <x:v>复杂模式</x:v>
      </x:c>
      <x:c r="H79" s="53" t="str">
        <x:v>急性支架闭塞/肢体缺血→急诊</x:v>
      </x:c>
      <x:c r="I79" s="53" t="str">
        <x:v>可对稳定无影响贴壁血栓个体化</x:v>
      </x:c>
      <x:c r="J79" s="53" t="str">
        <x:v>A 指南引擎＋B 影像量化器＋C 解剖评分器＋D 记忆检索器＋E 风险评估器</x:v>
      </x:c>
      <x:c r="K79" s="53" t="str">
        <x:v>§7.2.1; Rec 89</x:v>
      </x:c>
      <x:c r="L79" s="53" t="str">
        <x:v>指南病种＋工程路由</x:v>
      </x:c>
      <x:c r="M79" s="53" t="str">
        <x:v>不能只见mural thrombus就判急诊</x:v>
      </x:c>
      <x:c r="N79" s="58" t="str">
        <x:v>待临床审核</x:v>
      </x:c>
      <x:c r="O79" s="53" t="str">
        <x:v>https://doi.org/10.1016/j.ejvs.2023.11.002</x:v>
      </x:c>
    </x:row>
    <x:row r="80" ht="49" customHeight="1">
      <x:c r="A80" s="53" t="str">
        <x:v>R076</x:v>
      </x:c>
      <x:c r="B80" s="53" t="str">
        <x:v>7 AAA术后状态/并发症</x:v>
      </x:c>
      <x:c r="C80" s="53" t="str">
        <x:v>支架/人工血管闭塞</x:v>
      </x:c>
      <x:c r="D80" s="53" t="str">
        <x:v>移植物闭塞|graft occlusion|limb occlusion|stent graft thrombosis</x:v>
      </x:c>
      <x:c r="E80" s="53" t="str">
        <x:v>术后人工血管/支架部分或完全闭塞</x:v>
      </x:c>
      <x:c r="F80" s="53" t="str">
        <x:v>病史有'闭塞后已再通'且当前无复发</x:v>
      </x:c>
      <x:c r="G80" s="62" t="str">
        <x:v>复杂模式</x:v>
      </x:c>
      <x:c r="H80" s="53" t="str">
        <x:v>急性肢体缺血/肠肾灌注受损→急诊</x:v>
      </x:c>
      <x:c r="I80" s="53" t="str">
        <x:v>需区分急慢性</x:v>
      </x:c>
      <x:c r="J80" s="53" t="str">
        <x:v>A 指南引擎＋B 影像量化器＋C 解剖评分器＋D 记忆检索器＋E 风险评估器</x:v>
      </x:c>
      <x:c r="K80" s="53" t="str">
        <x:v>§7.2.1</x:v>
      </x:c>
      <x:c r="L80" s="53" t="str">
        <x:v>指南病种＋工程路由</x:v>
      </x:c>
      <x:c r="M80" s="53" t="str">
        <x:v>涵盖OSR与EVAR</x:v>
      </x:c>
      <x:c r="N80" s="58" t="str">
        <x:v>待临床审核</x:v>
      </x:c>
      <x:c r="O80" s="53" t="str">
        <x:v>https://doi.org/10.1016/j.ejvs.2023.11.002</x:v>
      </x:c>
    </x:row>
    <x:row r="81" ht="49" customHeight="1">
      <x:c r="A81" s="53" t="str">
        <x:v>R077</x:v>
      </x:c>
      <x:c r="B81" s="53" t="str">
        <x:v>7 AAA术后状态/并发症</x:v>
      </x:c>
      <x:c r="C81" s="53" t="str">
        <x:v>支架桥接分支闭塞</x:v>
      </x:c>
      <x:c r="D81" s="53" t="str">
        <x:v>肾动脉桥接支架闭塞|bridging stent occlusion|visceral branch occlusion</x:v>
      </x:c>
      <x:c r="E81" s="53" t="str">
        <x:v>既往F/BEVAR AND 桥接血管异常</x:v>
      </x:c>
      <x:c r="F81" s="53" t="str">
        <x:v>既往无复杂修复者</x:v>
      </x:c>
      <x:c r="G81" s="62" t="str">
        <x:v>复杂模式</x:v>
      </x:c>
      <x:c r="H81" s="53" t="str">
        <x:v>急性肾脏/肠系膜/肢体灌注障碍→急诊</x:v>
      </x:c>
      <x:c r="I81" s="53" t="str">
        <x:v>专门复杂修复路径</x:v>
      </x:c>
      <x:c r="J81" s="53" t="str">
        <x:v>A 指南引擎＋B 影像量化器＋C 解剖评分器＋D 记忆检索器＋E 风险评估器</x:v>
      </x:c>
      <x:c r="K81" s="53" t="str">
        <x:v>§8.6; §8.3</x:v>
      </x:c>
      <x:c r="L81" s="53" t="str">
        <x:v>指南病种＋工程路由</x:v>
      </x:c>
      <x:c r="M81" s="53" t="str">
        <x:v>系统需要覆盖复杂AAA术后</x:v>
      </x:c>
      <x:c r="N81" s="58" t="str">
        <x:v>待临床审核</x:v>
      </x:c>
      <x:c r="O81" s="53" t="str">
        <x:v>https://doi.org/10.1016/j.ejvs.2023.11.002</x:v>
      </x:c>
    </x:row>
    <x:row r="82" ht="49" customHeight="1">
      <x:c r="A82" s="53" t="str">
        <x:v>R078</x:v>
      </x:c>
      <x:c r="B82" s="53" t="str">
        <x:v>7 AAA术后状态/并发症</x:v>
      </x:c>
      <x:c r="C82" s="53" t="str">
        <x:v>开放修复术后吻合口旁动脉瘤</x:v>
      </x:c>
      <x:c r="D82" s="53" t="str">
        <x:v>吻合口旁动脉瘤|para-anastomotic aneurysm|吻合口旁扩张</x:v>
      </x:c>
      <x:c r="E82" s="53" t="str">
        <x:v>既往OSR且吻合口附近动脉瘤样扩张</x:v>
      </x:c>
      <x:c r="F82" s="53" t="str">
        <x:v>原发性动脉瘤、无吻合口</x:v>
      </x:c>
      <x:c r="G82" s="62" t="str">
        <x:v>复杂模式</x:v>
      </x:c>
      <x:c r="H82" s="53" t="str">
        <x:v>破裂/出血→急诊</x:v>
      </x:c>
      <x:c r="I82" s="53" t="str">
        <x:v>应排查潜在感染</x:v>
      </x:c>
      <x:c r="J82" s="53" t="str">
        <x:v>A 指南引擎＋B 影像量化器＋C 解剖评分器＋D 记忆检索器＋E 风险评估器</x:v>
      </x:c>
      <x:c r="K82" s="53" t="str">
        <x:v>§7.2.4; Rec 101–102</x:v>
      </x:c>
      <x:c r="L82" s="53" t="str">
        <x:v>指南病种＋工程路由</x:v>
      </x:c>
      <x:c r="M82" s="53" t="str">
        <x:v>术后标记不可丢</x:v>
      </x:c>
      <x:c r="N82" s="58" t="str">
        <x:v>待临床审核</x:v>
      </x:c>
      <x:c r="O82" s="53" t="str">
        <x:v>https://doi.org/10.1016/j.ejvs.2023.11.002</x:v>
      </x:c>
    </x:row>
    <x:row r="83" ht="49" customHeight="1">
      <x:c r="A83" s="53" t="str">
        <x:v>R079</x:v>
      </x:c>
      <x:c r="B83" s="53" t="str">
        <x:v>7 AAA术后状态/并发症</x:v>
      </x:c>
      <x:c r="C83" s="53" t="str">
        <x:v>吻合口假性动脉瘤</x:v>
      </x:c>
      <x:c r="D83" s="53" t="str">
        <x:v>吻合口假性动脉瘤|anastomotic pseudoaneurysm|吻合口漏瘤</x:v>
      </x:c>
      <x:c r="E83" s="53" t="str">
        <x:v>既往OSR/血管吻合 AND 当前假性瘤证据</x:v>
      </x:c>
      <x:c r="F83" s="53" t="str">
        <x:v>非吻合口来源的原生假性瘤</x:v>
      </x:c>
      <x:c r="G83" s="62" t="str">
        <x:v>复杂模式</x:v>
      </x:c>
      <x:c r="H83" s="53" t="str">
        <x:v>急性出血/破裂→急诊</x:v>
      </x:c>
      <x:c r="I83" s="53" t="str">
        <x:v>感染需同时排查</x:v>
      </x:c>
      <x:c r="J83" s="53" t="str">
        <x:v>A 指南引擎＋B 影像量化器＋C 解剖评分器＋D 记忆检索器＋E 风险评估器</x:v>
      </x:c>
      <x:c r="K83" s="53" t="str">
        <x:v>§7.2.4</x:v>
      </x:c>
      <x:c r="L83" s="53" t="str">
        <x:v>指南病种＋工程路由</x:v>
      </x:c>
      <x:c r="M83" s="53" t="str">
        <x:v>假性瘤可能感染性</x:v>
      </x:c>
      <x:c r="N83" s="58" t="str">
        <x:v>待临床审核</x:v>
      </x:c>
      <x:c r="O83" s="53" t="str">
        <x:v>https://doi.org/10.1016/j.ejvs.2023.11.002</x:v>
      </x:c>
    </x:row>
    <x:row r="84" ht="49" customHeight="1">
      <x:c r="A84" s="53" t="str">
        <x:v>R080</x:v>
      </x:c>
      <x:c r="B84" s="53" t="str">
        <x:v>7 AAA术后状态/并发症</x:v>
      </x:c>
      <x:c r="C84" s="53" t="str">
        <x:v>开放修复人工血管狭窄</x:v>
      </x:c>
      <x:c r="D84" s="53" t="str">
        <x:v>人工血管狭窄|open graft stenosis|OSR graft stenosis</x:v>
      </x:c>
      <x:c r="E84" s="53" t="str">
        <x:v>既往OSR AND 当前移植物狭窄</x:v>
      </x:c>
      <x:c r="F84" s="53" t="str">
        <x:v>单纯腹主动脉原生狭窄</x:v>
      </x:c>
      <x:c r="G84" s="62" t="str">
        <x:v>复杂模式</x:v>
      </x:c>
      <x:c r="H84" s="53" t="str">
        <x:v>急性闭塞/急性缺血→急诊</x:v>
      </x:c>
      <x:c r="I84" s="53" t="str">
        <x:v>需临床与影像结合</x:v>
      </x:c>
      <x:c r="J84" s="53" t="str">
        <x:v>A 指南引擎＋B 影像量化器＋C 解剖评分器＋D 记忆检索器＋E 风险评估器</x:v>
      </x:c>
      <x:c r="K84" s="53" t="str">
        <x:v>§7.2.1</x:v>
      </x:c>
      <x:c r="L84" s="53" t="str">
        <x:v>指南病种＋工程路由</x:v>
      </x:c>
      <x:c r="M84" s="53" t="str">
        <x:v>属于人工血管通畅性障碍</x:v>
      </x:c>
      <x:c r="N84" s="58" t="str">
        <x:v>待临床审核</x:v>
      </x:c>
      <x:c r="O84" s="53" t="str">
        <x:v>https://doi.org/10.1016/j.ejvs.2023.11.002</x:v>
      </x:c>
    </x:row>
    <x:row r="85" ht="49" customHeight="1">
      <x:c r="A85" s="53" t="str">
        <x:v>R081</x:v>
      </x:c>
      <x:c r="B85" s="53" t="str">
        <x:v>7 AAA术后状态/并发症</x:v>
      </x:c>
      <x:c r="C85" s="53" t="str">
        <x:v>术后移植物感染</x:v>
      </x:c>
      <x:c r="D85" s="53" t="str">
        <x:v>术后移植物感染|prosthetic aortic graft infection|endograft sepsis</x:v>
      </x:c>
      <x:c r="E85" s="53" t="str">
        <x:v>主动脉/髂动脉重建史 AND 移植物感染证据</x:v>
      </x:c>
      <x:c r="F85" s="53" t="str">
        <x:v>单纯切口浅表感染未涉及移植物</x:v>
      </x:c>
      <x:c r="G85" s="62" t="str">
        <x:v>复杂模式</x:v>
      </x:c>
      <x:c r="H85" s="53" t="str">
        <x:v>脓毒性休克/出血/肠瘘→急诊</x:v>
      </x:c>
      <x:c r="I85" s="53" t="str">
        <x:v>并行感染性第4类</x:v>
      </x:c>
      <x:c r="J85" s="53" t="str">
        <x:v>A 指南引擎＋B 影像量化器＋C 解剖评分器＋D 记忆检索器＋E 风险评估器</x:v>
      </x:c>
      <x:c r="K85" s="53" t="str">
        <x:v>§7.2.2</x:v>
      </x:c>
      <x:c r="L85" s="53" t="str">
        <x:v>指南病种＋工程路由</x:v>
      </x:c>
      <x:c r="M85" s="53" t="str">
        <x:v>跨分类重复允许，路由输出只一模式</x:v>
      </x:c>
      <x:c r="N85" s="58" t="str">
        <x:v>待临床审核</x:v>
      </x:c>
      <x:c r="O85" s="53" t="str">
        <x:v>https://doi.org/10.1016/j.ejvs.2023.11.002</x:v>
      </x:c>
    </x:row>
    <x:row r="86" ht="49" customHeight="1">
      <x:c r="A86" s="53" t="str">
        <x:v>R082</x:v>
      </x:c>
      <x:c r="B86" s="53" t="str">
        <x:v>7 AAA术后状态/并发症</x:v>
      </x:c>
      <x:c r="C86" s="53" t="str">
        <x:v>继发性移植物肠瘘</x:v>
      </x:c>
      <x:c r="D86" s="53" t="str">
        <x:v>继发性主动脉肠瘘|secondary aortoenteric fistula|graft-enteric fistula</x:v>
      </x:c>
      <x:c r="E86" s="53" t="str">
        <x:v>既往主动脉重建 AND 瘘可疑/确诊</x:v>
      </x:c>
      <x:c r="F86" s="53" t="str">
        <x:v>无重建史归原发性肠瘘</x:v>
      </x:c>
      <x:c r="G86" s="62" t="str">
        <x:v>复杂模式</x:v>
      </x:c>
      <x:c r="H86" s="53" t="str">
        <x:v>活动性胃肠道出血/晕厥/休克/疑似急性瘘→急诊</x:v>
      </x:c>
      <x:c r="I86" s="53" t="str">
        <x:v>感染及术后双标签</x:v>
      </x:c>
      <x:c r="J86" s="53" t="str">
        <x:v>A 指南引擎＋B 影像量化器＋C 解剖评分器＋D 记忆检索器＋E 风险评估器</x:v>
      </x:c>
      <x:c r="K86" s="53" t="str">
        <x:v>§7.2.2</x:v>
      </x:c>
      <x:c r="L86" s="53" t="str">
        <x:v>指南病种＋工程路由</x:v>
      </x:c>
      <x:c r="M86" s="53" t="str">
        <x:v>即使稳定也需紧急专科审核</x:v>
      </x:c>
      <x:c r="N86" s="58" t="str">
        <x:v>待临床审核</x:v>
      </x:c>
      <x:c r="O86" s="53" t="str">
        <x:v>https://doi.org/10.1016/j.ejvs.2023.11.002</x:v>
      </x:c>
    </x:row>
    <x:row r="87" ht="49" customHeight="1">
      <x:c r="A87" s="53" t="str">
        <x:v>R083</x:v>
      </x:c>
      <x:c r="B87" s="53" t="str">
        <x:v>7 AAA术后状态/并发症</x:v>
      </x:c>
      <x:c r="C87" s="53" t="str">
        <x:v>术后再次破裂</x:v>
      </x:c>
      <x:c r="D87" s="53" t="str">
        <x:v>EVAR后再次破裂|postoperative aneurysm rupture|late aortic rupture after EVAR</x:v>
      </x:c>
      <x:c r="E87" s="53" t="str">
        <x:v>既往主动脉修复 AND 当前破裂证据</x:v>
      </x:c>
      <x:c r="F87" s="53" t="str">
        <x:v>仅术前破裂历史，目前无再破裂</x:v>
      </x:c>
      <x:c r="G87" s="64" t="str">
        <x:v>急诊模式</x:v>
      </x:c>
      <x:c r="H87" s="53" t="str">
        <x:v>直接急诊</x:v>
      </x:c>
      <x:c r="I87" s="53" t="str">
        <x:v>术后因素并行</x:v>
      </x:c>
      <x:c r="J87" s="53" t="str">
        <x:v>启动急诊应急预案；暂缓常规工具调度（急诊专属工具未在原图指定）</x:v>
      </x:c>
      <x:c r="K87" s="53" t="str">
        <x:v>§7.2; Table 20</x:v>
      </x:c>
      <x:c r="L87" s="53" t="str">
        <x:v>指南病种＋工程路由</x:v>
      </x:c>
      <x:c r="M87" s="53" t="str">
        <x:v>优先级不被既往手术史改变</x:v>
      </x:c>
      <x:c r="N87" s="58" t="str">
        <x:v>待临床审核</x:v>
      </x:c>
      <x:c r="O87" s="53" t="str">
        <x:v>https://doi.org/10.1016/j.ejvs.2023.11.002</x:v>
      </x:c>
    </x:row>
    <x:row r="88" ht="49" customHeight="1">
      <x:c r="A88" s="53" t="str">
        <x:v>R084</x:v>
      </x:c>
      <x:c r="B88" s="53" t="str">
        <x:v>7 AAA术后状态/并发症</x:v>
      </x:c>
      <x:c r="C88" s="53" t="str">
        <x:v>术后出血/活动性失血</x:v>
      </x:c>
      <x:c r="D88" s="53" t="str">
        <x:v>术后腹腔出血|术后活动性出血|postoperative active bleeding</x:v>
      </x:c>
      <x:c r="E88" s="53" t="str">
        <x:v>术后急性期且活动性大出血或循环不稳</x:v>
      </x:c>
      <x:c r="F88" s="53" t="str">
        <x:v>仅正常少量术后积液或术中已控制出血</x:v>
      </x:c>
      <x:c r="G88" s="64" t="str">
        <x:v>急诊模式</x:v>
      </x:c>
      <x:c r="H88" s="53" t="str">
        <x:v>直接急诊</x:v>
      </x:c>
      <x:c r="I88" s="53" t="str">
        <x:v>标注相关器械/吻合口来源</x:v>
      </x:c>
      <x:c r="J88" s="53" t="str">
        <x:v>启动急诊应急预案；暂缓常规工具调度（急诊专属工具未在原图指定）</x:v>
      </x:c>
      <x:c r="K88" s="53" t="str">
        <x:v>§5.4; §6.4</x:v>
      </x:c>
      <x:c r="L88" s="53" t="str">
        <x:v>指南病种＋工程路由</x:v>
      </x:c>
      <x:c r="M88" s="53" t="str">
        <x:v>严重程度决定急诊触发</x:v>
      </x:c>
      <x:c r="N88" s="58" t="str">
        <x:v>待临床审核</x:v>
      </x:c>
      <x:c r="O88" s="53" t="str">
        <x:v>https://doi.org/10.1016/j.ejvs.2023.11.002</x:v>
      </x:c>
    </x:row>
    <x:row r="89" ht="49" customHeight="1">
      <x:c r="A89" s="53" t="str">
        <x:v>R085</x:v>
      </x:c>
      <x:c r="B89" s="53" t="str">
        <x:v>7 AAA术后状态/并发症</x:v>
      </x:c>
      <x:c r="C89" s="53" t="str">
        <x:v>腹腔高压/腹腔间隔室综合征</x:v>
      </x:c>
      <x:c r="D89" s="53" t="str">
        <x:v>腹腔间隔室综合征|abdominal compartment syndrome|ACS after AAA repair</x:v>
      </x:c>
      <x:c r="E89" s="53" t="str">
        <x:v>AAA修复围术期且当前ACS或高度怀疑</x:v>
      </x:c>
      <x:c r="F89" s="53" t="str">
        <x:v>非急性既往高腹压</x:v>
      </x:c>
      <x:c r="G89" s="64" t="str">
        <x:v>急诊模式</x:v>
      </x:c>
      <x:c r="H89" s="53" t="str">
        <x:v>高度疑似ACS按急诊评估</x:v>
      </x:c>
      <x:c r="I89" s="53" t="str">
        <x:v>复苏和器官灌注问题</x:v>
      </x:c>
      <x:c r="J89" s="53" t="str">
        <x:v>启动急诊应急预案；暂缓常规工具调度（急诊专属工具未在原图指定）</x:v>
      </x:c>
      <x:c r="K89" s="53" t="str">
        <x:v>§6.4.1</x:v>
      </x:c>
      <x:c r="L89" s="53" t="str">
        <x:v>指南病种＋工程路由</x:v>
      </x:c>
      <x:c r="M89" s="53" t="str">
        <x:v>紧急术后并发症</x:v>
      </x:c>
      <x:c r="N89" s="58" t="str">
        <x:v>待临床审核</x:v>
      </x:c>
      <x:c r="O89" s="53" t="str">
        <x:v>https://doi.org/10.1016/j.ejvs.2023.11.002</x:v>
      </x:c>
    </x:row>
    <x:row r="90" ht="49" customHeight="1">
      <x:c r="A90" s="53" t="str">
        <x:v>R086</x:v>
      </x:c>
      <x:c r="B90" s="53" t="str">
        <x:v>7 AAA术后状态/并发症</x:v>
      </x:c>
      <x:c r="C90" s="53" t="str">
        <x:v>结肠或肠系膜缺血</x:v>
      </x:c>
      <x:c r="D90" s="53" t="str">
        <x:v>术后结肠缺血|colonic ischemia|mesenteric ischemia after AAA repair</x:v>
      </x:c>
      <x:c r="E90" s="53" t="str">
        <x:v>既往AAA修复且急性肠缺血临床或影像疑似</x:v>
      </x:c>
      <x:c r="F90" s="53" t="str">
        <x:v>非缺血性肠炎既有明确证据</x:v>
      </x:c>
      <x:c r="G90" s="64" t="str">
        <x:v>急诊模式</x:v>
      </x:c>
      <x:c r="H90" s="53" t="str">
        <x:v>急性缺血→急诊</x:v>
      </x:c>
      <x:c r="I90" s="53" t="str">
        <x:v>术后并发症并行</x:v>
      </x:c>
      <x:c r="J90" s="53" t="str">
        <x:v>启动急诊应急预案；暂缓常规工具调度（急诊专属工具未在原图指定）</x:v>
      </x:c>
      <x:c r="K90" s="53" t="str">
        <x:v>§6.4.2</x:v>
      </x:c>
      <x:c r="L90" s="53" t="str">
        <x:v>指南病种＋工程路由</x:v>
      </x:c>
      <x:c r="M90" s="53" t="str">
        <x:v>警惕严重缺血性坏死</x:v>
      </x:c>
      <x:c r="N90" s="58" t="str">
        <x:v>待临床审核</x:v>
      </x:c>
      <x:c r="O90" s="53" t="str">
        <x:v>https://doi.org/10.1016/j.ejvs.2023.11.002</x:v>
      </x:c>
    </x:row>
    <x:row r="91" ht="49" customHeight="1">
      <x:c r="A91" s="53" t="str">
        <x:v>R087</x:v>
      </x:c>
      <x:c r="B91" s="53" t="str">
        <x:v>7 AAA术后状态/并发症</x:v>
      </x:c>
      <x:c r="C91" s="53" t="str">
        <x:v>术后急性下肢缺血</x:v>
      </x:c>
      <x:c r="D91" s="53" t="str">
        <x:v>术后急性下肢缺血|acute limb ischaemia post-EVAR|acute graft limb occlusion</x:v>
      </x:c>
      <x:c r="E91" s="53" t="str">
        <x:v>术后急性肢体缺血客观症状或临床高度怀疑</x:v>
      </x:c>
      <x:c r="F91" s="53" t="str">
        <x:v>仅慢性稳定跛行</x:v>
      </x:c>
      <x:c r="G91" s="64" t="str">
        <x:v>急诊模式</x:v>
      </x:c>
      <x:c r="H91" s="53" t="str">
        <x:v>直接急诊</x:v>
      </x:c>
      <x:c r="I91" s="53" t="str">
        <x:v>血流原因可待急诊检查</x:v>
      </x:c>
      <x:c r="J91" s="53" t="str">
        <x:v>启动急诊应急预案；暂缓常规工具调度（急诊专属工具未在原图指定）</x:v>
      </x:c>
      <x:c r="K91" s="53" t="str">
        <x:v>§6.4.3; §7.2.1</x:v>
      </x:c>
      <x:c r="L91" s="53" t="str">
        <x:v>指南病种＋工程路由</x:v>
      </x:c>
      <x:c r="M91" s="53" t="str">
        <x:v>需判定肢体威胁</x:v>
      </x:c>
      <x:c r="N91" s="58" t="str">
        <x:v>待临床审核</x:v>
      </x:c>
      <x:c r="O91" s="53" t="str">
        <x:v>https://doi.org/10.1016/j.ejvs.2023.11.002</x:v>
      </x:c>
    </x:row>
    <x:row r="92" ht="49" customHeight="1">
      <x:c r="A92" s="53" t="str">
        <x:v>R088</x:v>
      </x:c>
      <x:c r="B92" s="53" t="str">
        <x:v>7 AAA术后状态/并发症</x:v>
      </x:c>
      <x:c r="C92" s="53" t="str">
        <x:v>术后急性肾损伤</x:v>
      </x:c>
      <x:c r="D92" s="53" t="str">
        <x:v>术后急性肾损伤|AKI following AAA repair|acute kidney injury post EVAR</x:v>
      </x:c>
      <x:c r="E92" s="53" t="str">
        <x:v>既往AAA修复 AND 目前急性肾功能恶化</x:v>
      </x:c>
      <x:c r="F92" s="53" t="str">
        <x:v>长期稳定CKD应为复杂风险因子而非AKI</x:v>
      </x:c>
      <x:c r="G92" s="62" t="str">
        <x:v>复杂模式</x:v>
      </x:c>
      <x:c r="H92" s="53" t="str">
        <x:v>若危及生命的急性失代偿或器官缺血→急诊</x:v>
      </x:c>
      <x:c r="I92" s="53" t="str">
        <x:v>需核查灌注、造影剂和其他原因</x:v>
      </x:c>
      <x:c r="J92" s="53" t="str">
        <x:v>A 指南引擎＋B 影像量化器＋C 解剖评分器＋D 记忆检索器＋E 风险评估器</x:v>
      </x:c>
      <x:c r="K92" s="53" t="str">
        <x:v>§5.4; §8.3</x:v>
      </x:c>
      <x:c r="L92" s="53" t="str">
        <x:v>指南病种＋工程路由</x:v>
      </x:c>
      <x:c r="M92" s="53" t="str">
        <x:v>属于围术期并发症但不全部默认为急诊</x:v>
      </x:c>
      <x:c r="N92" s="58" t="str">
        <x:v>待临床审核</x:v>
      </x:c>
      <x:c r="O92" s="53" t="str">
        <x:v>https://doi.org/10.1016/j.ejvs.2023.11.002</x:v>
      </x:c>
    </x:row>
    <x:row r="93" ht="49" customHeight="1">
      <x:c r="A93" s="53" t="str">
        <x:v>R089</x:v>
      </x:c>
      <x:c r="B93" s="53" t="str">
        <x:v>7 AAA术后状态/并发症</x:v>
      </x:c>
      <x:c r="C93" s="53" t="str">
        <x:v>术后脊髓缺血</x:v>
      </x:c>
      <x:c r="D93" s="53" t="str">
        <x:v>术后脊髓缺血|spinal cord ischemia after aortic repair|SCI post FEVAR</x:v>
      </x:c>
      <x:c r="E93" s="53" t="str">
        <x:v>主动脉重建后新发神经功能缺损疑似缺血</x:v>
      </x:c>
      <x:c r="F93" s="53" t="str">
        <x:v>非术后相关既往神经缺损</x:v>
      </x:c>
      <x:c r="G93" s="64" t="str">
        <x:v>急诊模式</x:v>
      </x:c>
      <x:c r="H93" s="53" t="str">
        <x:v>新发神经缺损直接急诊</x:v>
      </x:c>
      <x:c r="I93" s="53" t="str">
        <x:v>尤其复杂主动脉修复</x:v>
      </x:c>
      <x:c r="J93" s="53" t="str">
        <x:v>启动急诊应急预案；暂缓常规工具调度（急诊专属工具未在原图指定）</x:v>
      </x:c>
      <x:c r="K93" s="53" t="str">
        <x:v>§8.4</x:v>
      </x:c>
      <x:c r="L93" s="53" t="str">
        <x:v>指南病种＋工程路由</x:v>
      </x:c>
      <x:c r="M93" s="53" t="str">
        <x:v>脊髓缺血紧急处置</x:v>
      </x:c>
      <x:c r="N93" s="58" t="str">
        <x:v>待临床审核</x:v>
      </x:c>
      <x:c r="O93" s="53" t="str">
        <x:v>https://doi.org/10.1016/j.ejvs.2023.11.002</x:v>
      </x:c>
    </x:row>
    <x:row r="94" ht="49" customHeight="1">
      <x:c r="A94" s="53" t="str">
        <x:v>R090</x:v>
      </x:c>
      <x:c r="B94" s="53" t="str">
        <x:v>7 AAA术后状态/并发症</x:v>
      </x:c>
      <x:c r="C94" s="53" t="str">
        <x:v>入路并发症</x:v>
      </x:c>
      <x:c r="D94" s="53" t="str">
        <x:v>股动脉入路并发症|access site pseudoaneurysm|入路血肿</x:v>
      </x:c>
      <x:c r="E94" s="53" t="str">
        <x:v>主动脉EVAR/相关修复后入路有血肿/假性瘤/狭窄</x:v>
      </x:c>
      <x:c r="F94" s="53" t="str">
        <x:v>无病灶的穿刺痕迹</x:v>
      </x:c>
      <x:c r="G94" s="62" t="str">
        <x:v>复杂模式</x:v>
      </x:c>
      <x:c r="H94" s="53" t="str">
        <x:v>活动性出血/急性肢体缺血→急诊</x:v>
      </x:c>
      <x:c r="I94" s="53" t="str">
        <x:v>局部处理与器械评估</x:v>
      </x:c>
      <x:c r="J94" s="53" t="str">
        <x:v>A 指南引擎＋B 影像量化器＋C 解剖评分器＋D 记忆检索器＋E 风险评估器</x:v>
      </x:c>
      <x:c r="K94" s="53" t="str">
        <x:v>§5.4; §5.3.2.3</x:v>
      </x:c>
      <x:c r="L94" s="53" t="str">
        <x:v>临床扩展</x:v>
      </x:c>
      <x:c r="M94" s="53" t="str">
        <x:v>补全实际临床常见并发症</x:v>
      </x:c>
      <x:c r="N94" s="58" t="str">
        <x:v>待临床审核</x:v>
      </x:c>
      <x:c r="O94" s="53" t="str">
        <x:v>https://doi.org/10.1016/j.ejvs.2023.11.002</x:v>
      </x:c>
    </x:row>
    <x:row r="95" ht="49" customHeight="1">
      <x:c r="A95" s="53" t="str">
        <x:v>R091</x:v>
      </x:c>
      <x:c r="B95" s="53" t="str">
        <x:v>7 AAA术后状态/并发症</x:v>
      </x:c>
      <x:c r="C95" s="53" t="str">
        <x:v>开放手术切口疝</x:v>
      </x:c>
      <x:c r="D95" s="53" t="str">
        <x:v>术后切口疝|incisional hernia after AAA|腹壁切口疝</x:v>
      </x:c>
      <x:c r="E95" s="53" t="str">
        <x:v>既往OSR且切口疝确诊</x:v>
      </x:c>
      <x:c r="F95" s="53" t="str">
        <x:v>其他无关腹壁疝</x:v>
      </x:c>
      <x:c r="G95" s="60" t="str">
        <x:v>指南模式</x:v>
      </x:c>
      <x:c r="H95" s="53" t="str">
        <x:v>嵌顿/绞窄/急腹症→急诊</x:v>
      </x:c>
      <x:c r="I95" s="53" t="str">
        <x:v>需个体化处理时复杂</x:v>
      </x:c>
      <x:c r="J95" s="53" t="str">
        <x:v>B 影像量化器＋A 指南引擎</x:v>
      </x:c>
      <x:c r="K95" s="53" t="str">
        <x:v>§7.2.5</x:v>
      </x:c>
      <x:c r="L95" s="53" t="str">
        <x:v>指南病种＋工程路由</x:v>
      </x:c>
      <x:c r="M95" s="53" t="str">
        <x:v>非血管重建并发症，随访路径</x:v>
      </x:c>
      <x:c r="N95" s="58" t="str">
        <x:v>待临床审核</x:v>
      </x:c>
      <x:c r="O95" s="53" t="str">
        <x:v>https://doi.org/10.1016/j.ejvs.2023.11.002</x:v>
      </x:c>
    </x:row>
    <x:row r="96" ht="49" customHeight="1">
      <x:c r="A96" s="53" t="str">
        <x:v>R092</x:v>
      </x:c>
      <x:c r="B96" s="53" t="str">
        <x:v>7 AAA术后状态/并发症</x:v>
      </x:c>
      <x:c r="C96" s="53" t="str">
        <x:v>AAA术后性功能障碍</x:v>
      </x:c>
      <x:c r="D96" s="53" t="str">
        <x:v>AAA术后性功能障碍|sexual dysfunction after AAA repair|射精功能障碍</x:v>
      </x:c>
      <x:c r="E96" s="53" t="str">
        <x:v>既往AAA修复 AND 新发功能障碍临床相关</x:v>
      </x:c>
      <x:c r="F96" s="53" t="str">
        <x:v>与术后无关联者</x:v>
      </x:c>
      <x:c r="G96" s="60" t="str">
        <x:v>指南模式</x:v>
      </x:c>
      <x:c r="H96" s="53" t="str">
        <x:v>不常规触发AAA急诊</x:v>
      </x:c>
      <x:c r="I96" s="53" t="str">
        <x:v>若症状复杂/手术史异常→复杂</x:v>
      </x:c>
      <x:c r="J96" s="53" t="str">
        <x:v>B 影像量化器＋A 指南引擎</x:v>
      </x:c>
      <x:c r="K96" s="53" t="str">
        <x:v>§7.2.3</x:v>
      </x:c>
      <x:c r="L96" s="53" t="str">
        <x:v>指南病种＋工程路由</x:v>
      </x:c>
      <x:c r="M96" s="53" t="str">
        <x:v>引导专科随访</x:v>
      </x:c>
      <x:c r="N96" s="58" t="str">
        <x:v>待临床审核</x:v>
      </x:c>
      <x:c r="O96" s="53" t="str">
        <x:v>https://doi.org/10.1016/j.ejvs.2023.11.002</x:v>
      </x:c>
    </x:row>
    <x:row r="97" ht="49" customHeight="1">
      <x:c r="A97" s="53" t="str">
        <x:v>R093</x:v>
      </x:c>
      <x:c r="B97" s="53" t="str">
        <x:v>7 AAA术后状态/并发症</x:v>
      </x:c>
      <x:c r="C97" s="53" t="str">
        <x:v>其他非特异术后异常待查</x:v>
      </x:c>
      <x:c r="D97" s="53" t="str">
        <x:v>术后异常待查|post EVAR complication unspecified|术后瘤囊变化不明</x:v>
      </x:c>
      <x:c r="E97" s="53" t="str">
        <x:v>AAA术后异常线索但资料不足以具体归类</x:v>
      </x:c>
      <x:c r="F97" s="53" t="str">
        <x:v>明确排除全部术后并发症</x:v>
      </x:c>
      <x:c r="G97" s="62" t="str">
        <x:v>复杂模式</x:v>
      </x:c>
      <x:c r="H97" s="53" t="str">
        <x:v>破裂/急性缺血/感染性休克→急诊</x:v>
      </x:c>
      <x:c r="I97" s="53" t="str">
        <x:v>信息不足→人工复核</x:v>
      </x:c>
      <x:c r="J97" s="53" t="str">
        <x:v>A 指南引擎＋B 影像量化器＋C 解剖评分器＋D 记忆检索器＋E 风险评估器</x:v>
      </x:c>
      <x:c r="K97" s="53" t="str">
        <x:v>§7–8</x:v>
      </x:c>
      <x:c r="L97" s="53" t="str">
        <x:v>工程安全兜底</x:v>
      </x:c>
      <x:c r="M97" s="53" t="str">
        <x:v>兜底防漏路由；置信度×0.5</x:v>
      </x:c>
      <x:c r="N97" s="58" t="str">
        <x:v>待临床审核</x:v>
      </x:c>
      <x:c r="O97" s="53" t="str">
        <x:v>https://doi.org/10.1016/j.ejvs.2023.11.002</x:v>
      </x:c>
    </x:row>
  </x:sheetData>
  <x:mergeCells>
    <x:mergeCell ref="A1:O1"/>
    <x:mergeCell ref="A2:O2"/>
  </x:mergeCells>
  <x:dataValidations count="1">
    <x:dataValidation type="list" sqref="N5:N97">
      <x:formula1>"待临床审核,临床已确认,待工程验证,已验证,需修改"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b83ec942249f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34" hidden="0" customWidth="1"/>
    <x:col min="5" max="5" width="42" hidden="0" customWidth="1"/>
    <x:col min="6" max="6" width="17" hidden="0" customWidth="1"/>
    <x:col min="7" max="7" width="33" hidden="0" customWidth="1"/>
    <x:col min="8" max="8" width="49" hidden="0" customWidth="1"/>
    <x:col min="9" max="9" width="43" hidden="0" customWidth="1"/>
    <x:col min="10" max="10" width="40" hidden="0" customWidth="1"/>
  </x:cols>
  <x:sheetData>
    <x:row r="1" ht="36" customHeight="1">
      <x:c r="A1" s="4" t="str">
        <x:v>03｜最细粒度关键词索引（每一术语独立一行）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0" t="str">
        <x:v>用术语定位规则ID；真正路由还必须通过对应规则的 AND / NOT 与全局覆盖；禁止只做字符串包含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3" customHeight="1">
      <x:c r="A4" s="17" t="str">
        <x:v>词典行ID</x:v>
      </x:c>
      <x:c r="B4" s="17" t="str">
        <x:v>关联规则ID</x:v>
      </x:c>
      <x:c r="C4" s="17" t="str">
        <x:v>所属一级分类</x:v>
      </x:c>
      <x:c r="D4" s="17" t="str">
        <x:v>具体疾病/危险条件</x:v>
      </x:c>
      <x:c r="E4" s="17" t="str">
        <x:v>中文/英文关键词（独立项）</x:v>
      </x:c>
      <x:c r="F4" s="17" t="str">
        <x:v>候选模式</x:v>
      </x:c>
      <x:c r="G4" s="17" t="str">
        <x:v>匹配角色</x:v>
      </x:c>
      <x:c r="H4" s="17" t="str">
        <x:v>必核实条件（AND）</x:v>
      </x:c>
      <x:c r="I4" s="17" t="str">
        <x:v>需排除（NOT）</x:v>
      </x:c>
      <x:c r="J4" s="17" t="str">
        <x:v>最终处理说明</x:v>
      </x:c>
    </x:row>
    <x:row r="5" ht="41" customHeight="1">
      <x:c r="A5" s="53" t="str">
        <x:v>K001</x:v>
      </x:c>
      <x:c r="B5" s="53" t="str">
        <x:v>R001</x:v>
      </x:c>
      <x:c r="C5" s="53" t="str">
        <x:v>1 无症状AAA</x:v>
      </x:c>
      <x:c r="D5" s="53" t="str">
        <x:v>小型无症状肾下AAA</x:v>
      </x:c>
      <x:c r="E5" s="53" t="str">
        <x:v>小型腹主动脉瘤</x:v>
      </x:c>
      <x:c r="F5" s="53" t="str">
        <x:v>指南模式</x:v>
      </x:c>
      <x:c r="G5" s="53" t="str">
        <x:v>病种候选词（需上下文判定）</x:v>
      </x:c>
      <x:c r="H5" s="53" t="str">
        <x:v>AAA确诊 AND 当前无归因性症状 AND 未达适用人群修复评估阈值 AND 不存在特殊病因/高危特征</x:v>
      </x:c>
      <x:c r="I5" s="53" t="str">
        <x:v>仅‘否认腹痛’不足以证明无症状；排除已有症状性诊断</x:v>
      </x:c>
      <x:c r="J5" s="53" t="str">
        <x:v>不得仅凭此词判模式；先全局急诊/复杂覆盖</x:v>
      </x:c>
    </x:row>
    <x:row r="6" ht="41" customHeight="1">
      <x:c r="A6" s="53" t="str">
        <x:v>K002</x:v>
      </x:c>
      <x:c r="B6" s="53" t="str">
        <x:v>R001</x:v>
      </x:c>
      <x:c r="C6" s="53" t="str">
        <x:v>1 无症状AAA</x:v>
      </x:c>
      <x:c r="D6" s="53" t="str">
        <x:v>小型无症状肾下AAA</x:v>
      </x:c>
      <x:c r="E6" s="53" t="str">
        <x:v>小AAA</x:v>
      </x:c>
      <x:c r="F6" s="53" t="str">
        <x:v>指南模式</x:v>
      </x:c>
      <x:c r="G6" s="53" t="str">
        <x:v>病种候选词（需上下文判定）</x:v>
      </x:c>
      <x:c r="H6" s="53" t="str">
        <x:v>AAA确诊 AND 当前无归因性症状 AND 未达适用人群修复评估阈值 AND 不存在特殊病因/高危特征</x:v>
      </x:c>
      <x:c r="I6" s="53" t="str">
        <x:v>仅‘否认腹痛’不足以证明无症状；排除已有症状性诊断</x:v>
      </x:c>
      <x:c r="J6" s="53" t="str">
        <x:v>不得仅凭此词判模式；先全局急诊/复杂覆盖</x:v>
      </x:c>
    </x:row>
    <x:row r="7" ht="41" customHeight="1">
      <x:c r="A7" s="53" t="str">
        <x:v>K003</x:v>
      </x:c>
      <x:c r="B7" s="53" t="str">
        <x:v>R001</x:v>
      </x:c>
      <x:c r="C7" s="53" t="str">
        <x:v>1 无症状AAA</x:v>
      </x:c>
      <x:c r="D7" s="53" t="str">
        <x:v>小型无症状肾下AAA</x:v>
      </x:c>
      <x:c r="E7" s="53" t="str">
        <x:v>small AAA</x:v>
      </x:c>
      <x:c r="F7" s="53" t="str">
        <x:v>指南模式</x:v>
      </x:c>
      <x:c r="G7" s="53" t="str">
        <x:v>病种候选词（需上下文判定）</x:v>
      </x:c>
      <x:c r="H7" s="53" t="str">
        <x:v>AAA确诊 AND 当前无归因性症状 AND 未达适用人群修复评估阈值 AND 不存在特殊病因/高危特征</x:v>
      </x:c>
      <x:c r="I7" s="53" t="str">
        <x:v>仅‘否认腹痛’不足以证明无症状；排除已有症状性诊断</x:v>
      </x:c>
      <x:c r="J7" s="53" t="str">
        <x:v>不得仅凭此词判模式；先全局急诊/复杂覆盖</x:v>
      </x:c>
    </x:row>
    <x:row r="8" ht="41" customHeight="1">
      <x:c r="A8" s="53" t="str">
        <x:v>K004</x:v>
      </x:c>
      <x:c r="B8" s="53" t="str">
        <x:v>R001</x:v>
      </x:c>
      <x:c r="C8" s="53" t="str">
        <x:v>1 无症状AAA</x:v>
      </x:c>
      <x:c r="D8" s="53" t="str">
        <x:v>小型无症状肾下AAA</x:v>
      </x:c>
      <x:c r="E8" s="53" t="str">
        <x:v>小型AAA</x:v>
      </x:c>
      <x:c r="F8" s="53" t="str">
        <x:v>指南模式</x:v>
      </x:c>
      <x:c r="G8" s="53" t="str">
        <x:v>病种候选词（需上下文判定）</x:v>
      </x:c>
      <x:c r="H8" s="53" t="str">
        <x:v>AAA确诊 AND 当前无归因性症状 AND 未达适用人群修复评估阈值 AND 不存在特殊病因/高危特征</x:v>
      </x:c>
      <x:c r="I8" s="53" t="str">
        <x:v>仅‘否认腹痛’不足以证明无症状；排除已有症状性诊断</x:v>
      </x:c>
      <x:c r="J8" s="53" t="str">
        <x:v>不得仅凭此词判模式；先全局急诊/复杂覆盖</x:v>
      </x:c>
    </x:row>
    <x:row r="9" ht="41" customHeight="1">
      <x:c r="A9" s="53" t="str">
        <x:v>K005</x:v>
      </x:c>
      <x:c r="B9" s="53" t="str">
        <x:v>R002</x:v>
      </x:c>
      <x:c r="C9" s="53" t="str">
        <x:v>1 无症状AAA</x:v>
      </x:c>
      <x:c r="D9" s="53" t="str">
        <x:v>男性达到常规修复评估阈值</x:v>
      </x:c>
      <x:c r="E9" s="53" t="str">
        <x:v>男性AAA≥55mm</x:v>
      </x:c>
      <x:c r="F9" s="53" t="str">
        <x:v>指南模式</x:v>
      </x:c>
      <x:c r="G9" s="53" t="str">
        <x:v>病种候选词（需上下文判定）</x:v>
      </x:c>
      <x:c r="H9" s="53" t="str">
        <x:v>男性 AND 无症状 AND 最大直径≥55mm AND 非感染/非假性/非破裂 AND 术前</x:v>
      </x:c>
      <x:c r="I9" s="53" t="str">
        <x:v>女性或未明确性别；既往已修复</x:v>
      </x:c>
      <x:c r="J9" s="53" t="str">
        <x:v>不得仅凭此词判模式；先全局急诊/复杂覆盖</x:v>
      </x:c>
    </x:row>
    <x:row r="10" ht="41" customHeight="1">
      <x:c r="A10" s="53" t="str">
        <x:v>K006</x:v>
      </x:c>
      <x:c r="B10" s="53" t="str">
        <x:v>R002</x:v>
      </x:c>
      <x:c r="C10" s="53" t="str">
        <x:v>1 无症状AAA</x:v>
      </x:c>
      <x:c r="D10" s="53" t="str">
        <x:v>男性达到常规修复评估阈值</x:v>
      </x:c>
      <x:c r="E10" s="53" t="str">
        <x:v>AAA 5.5cm</x:v>
      </x:c>
      <x:c r="F10" s="53" t="str">
        <x:v>指南模式</x:v>
      </x:c>
      <x:c r="G10" s="53" t="str">
        <x:v>病种候选词（需上下文判定）</x:v>
      </x:c>
      <x:c r="H10" s="53" t="str">
        <x:v>男性 AND 无症状 AND 最大直径≥55mm AND 非感染/非假性/非破裂 AND 术前</x:v>
      </x:c>
      <x:c r="I10" s="53" t="str">
        <x:v>女性或未明确性别；既往已修复</x:v>
      </x:c>
      <x:c r="J10" s="53" t="str">
        <x:v>不得仅凭此词判模式；先全局急诊/复杂覆盖</x:v>
      </x:c>
    </x:row>
    <x:row r="11" ht="41" customHeight="1">
      <x:c r="A11" s="53" t="str">
        <x:v>K007</x:v>
      </x:c>
      <x:c r="B11" s="53" t="str">
        <x:v>R002</x:v>
      </x:c>
      <x:c r="C11" s="53" t="str">
        <x:v>1 无症状AAA</x:v>
      </x:c>
      <x:c r="D11" s="53" t="str">
        <x:v>男性达到常规修复评估阈值</x:v>
      </x:c>
      <x:c r="E11" s="53" t="str">
        <x:v>55 mm AAA</x:v>
      </x:c>
      <x:c r="F11" s="53" t="str">
        <x:v>指南模式</x:v>
      </x:c>
      <x:c r="G11" s="53" t="str">
        <x:v>病种候选词（需上下文判定）</x:v>
      </x:c>
      <x:c r="H11" s="53" t="str">
        <x:v>男性 AND 无症状 AND 最大直径≥55mm AND 非感染/非假性/非破裂 AND 术前</x:v>
      </x:c>
      <x:c r="I11" s="53" t="str">
        <x:v>女性或未明确性别；既往已修复</x:v>
      </x:c>
      <x:c r="J11" s="53" t="str">
        <x:v>不得仅凭此词判模式；先全局急诊/复杂覆盖</x:v>
      </x:c>
    </x:row>
    <x:row r="12" ht="41" customHeight="1">
      <x:c r="A12" s="53" t="str">
        <x:v>K008</x:v>
      </x:c>
      <x:c r="B12" s="53" t="str">
        <x:v>R003</x:v>
      </x:c>
      <x:c r="C12" s="53" t="str">
        <x:v>1 无症状AAA</x:v>
      </x:c>
      <x:c r="D12" s="53" t="str">
        <x:v>女性达到常规修复评估阈值</x:v>
      </x:c>
      <x:c r="E12" s="53" t="str">
        <x:v>女性AAA≥50mm</x:v>
      </x:c>
      <x:c r="F12" s="53" t="str">
        <x:v>指南模式</x:v>
      </x:c>
      <x:c r="G12" s="53" t="str">
        <x:v>病种候选词（需上下文判定）</x:v>
      </x:c>
      <x:c r="H12" s="53" t="str">
        <x:v>女性 AND 无症状 AND 最大直径≥50mm AND 术前常规梭形AAA</x:v>
      </x:c>
      <x:c r="I12" s="53" t="str">
        <x:v>男性或性别未知；高危特殊类型</x:v>
      </x:c>
      <x:c r="J12" s="53" t="str">
        <x:v>不得仅凭此词判模式；先全局急诊/复杂覆盖</x:v>
      </x:c>
    </x:row>
    <x:row r="13" ht="41" customHeight="1">
      <x:c r="A13" s="53" t="str">
        <x:v>K009</x:v>
      </x:c>
      <x:c r="B13" s="53" t="str">
        <x:v>R003</x:v>
      </x:c>
      <x:c r="C13" s="53" t="str">
        <x:v>1 无症状AAA</x:v>
      </x:c>
      <x:c r="D13" s="53" t="str">
        <x:v>女性达到常规修复评估阈值</x:v>
      </x:c>
      <x:c r="E13" s="53" t="str">
        <x:v>AAA 5.0cm</x:v>
      </x:c>
      <x:c r="F13" s="53" t="str">
        <x:v>指南模式</x:v>
      </x:c>
      <x:c r="G13" s="53" t="str">
        <x:v>病种候选词（需上下文判定）</x:v>
      </x:c>
      <x:c r="H13" s="53" t="str">
        <x:v>女性 AND 无症状 AND 最大直径≥50mm AND 术前常规梭形AAA</x:v>
      </x:c>
      <x:c r="I13" s="53" t="str">
        <x:v>男性或性别未知；高危特殊类型</x:v>
      </x:c>
      <x:c r="J13" s="53" t="str">
        <x:v>不得仅凭此词判模式；先全局急诊/复杂覆盖</x:v>
      </x:c>
    </x:row>
    <x:row r="14" ht="41" customHeight="1">
      <x:c r="A14" s="53" t="str">
        <x:v>K010</x:v>
      </x:c>
      <x:c r="B14" s="53" t="str">
        <x:v>R003</x:v>
      </x:c>
      <x:c r="C14" s="53" t="str">
        <x:v>1 无症状AAA</x:v>
      </x:c>
      <x:c r="D14" s="53" t="str">
        <x:v>女性达到常规修复评估阈值</x:v>
      </x:c>
      <x:c r="E14" s="53" t="str">
        <x:v>50 mm female AAA</x:v>
      </x:c>
      <x:c r="F14" s="53" t="str">
        <x:v>指南模式</x:v>
      </x:c>
      <x:c r="G14" s="53" t="str">
        <x:v>病种候选词（需上下文判定）</x:v>
      </x:c>
      <x:c r="H14" s="53" t="str">
        <x:v>女性 AND 无症状 AND 最大直径≥50mm AND 术前常规梭形AAA</x:v>
      </x:c>
      <x:c r="I14" s="53" t="str">
        <x:v>男性或性别未知；高危特殊类型</x:v>
      </x:c>
      <x:c r="J14" s="53" t="str">
        <x:v>不得仅凭此词判模式；先全局急诊/复杂覆盖</x:v>
      </x:c>
    </x:row>
    <x:row r="15" ht="41" customHeight="1">
      <x:c r="A15" s="53" t="str">
        <x:v>K011</x:v>
      </x:c>
      <x:c r="B15" s="53" t="str">
        <x:v>R004</x:v>
      </x:c>
      <x:c r="C15" s="53" t="str">
        <x:v>1 无症状AAA</x:v>
      </x:c>
      <x:c r="D15" s="53" t="str">
        <x:v>快速增长AAA</x:v>
      </x:c>
      <x:c r="E15" s="53" t="str">
        <x:v>快速增长</x:v>
      </x:c>
      <x:c r="F15" s="53" t="str">
        <x:v>复杂模式</x:v>
      </x:c>
      <x:c r="G15" s="53" t="str">
        <x:v>病种候选词（需上下文判定）</x:v>
      </x:c>
      <x:c r="H15" s="53" t="str">
        <x:v>同方法测量或复核的增长速度≥10 mm/年；当前无急症</x:v>
      </x:c>
      <x:c r="I15" s="53" t="str">
        <x:v>不同模态/切面测量误差未复核</x:v>
      </x:c>
      <x:c r="J15" s="53" t="str">
        <x:v>不得仅凭此词判模式；先全局急诊/复杂覆盖</x:v>
      </x:c>
    </x:row>
    <x:row r="16" ht="41" customHeight="1">
      <x:c r="A16" s="53" t="str">
        <x:v>K012</x:v>
      </x:c>
      <x:c r="B16" s="53" t="str">
        <x:v>R004</x:v>
      </x:c>
      <x:c r="C16" s="53" t="str">
        <x:v>1 无症状AAA</x:v>
      </x:c>
      <x:c r="D16" s="53" t="str">
        <x:v>快速增长AAA</x:v>
      </x:c>
      <x:c r="E16" s="53" t="str">
        <x:v>增长≥10mm/年</x:v>
      </x:c>
      <x:c r="F16" s="53" t="str">
        <x:v>复杂模式</x:v>
      </x:c>
      <x:c r="G16" s="53" t="str">
        <x:v>病种候选词（需上下文判定）</x:v>
      </x:c>
      <x:c r="H16" s="53" t="str">
        <x:v>同方法测量或复核的增长速度≥10 mm/年；当前无急症</x:v>
      </x:c>
      <x:c r="I16" s="53" t="str">
        <x:v>不同模态/切面测量误差未复核</x:v>
      </x:c>
      <x:c r="J16" s="53" t="str">
        <x:v>不得仅凭此词判模式；先全局急诊/复杂覆盖</x:v>
      </x:c>
    </x:row>
    <x:row r="17" ht="41" customHeight="1">
      <x:c r="A17" s="53" t="str">
        <x:v>K013</x:v>
      </x:c>
      <x:c r="B17" s="53" t="str">
        <x:v>R004</x:v>
      </x:c>
      <x:c r="C17" s="53" t="str">
        <x:v>1 无症状AAA</x:v>
      </x:c>
      <x:c r="D17" s="53" t="str">
        <x:v>快速增长AAA</x:v>
      </x:c>
      <x:c r="E17" s="53" t="str">
        <x:v>rapidly expanding AAA</x:v>
      </x:c>
      <x:c r="F17" s="53" t="str">
        <x:v>复杂模式</x:v>
      </x:c>
      <x:c r="G17" s="53" t="str">
        <x:v>病种候选词（需上下文判定）</x:v>
      </x:c>
      <x:c r="H17" s="53" t="str">
        <x:v>同方法测量或复核的增长速度≥10 mm/年；当前无急症</x:v>
      </x:c>
      <x:c r="I17" s="53" t="str">
        <x:v>不同模态/切面测量误差未复核</x:v>
      </x:c>
      <x:c r="J17" s="53" t="str">
        <x:v>不得仅凭此词判模式；先全局急诊/复杂覆盖</x:v>
      </x:c>
    </x:row>
    <x:row r="18" ht="41" customHeight="1">
      <x:c r="A18" s="53" t="str">
        <x:v>K014</x:v>
      </x:c>
      <x:c r="B18" s="53" t="str">
        <x:v>R004</x:v>
      </x:c>
      <x:c r="C18" s="53" t="str">
        <x:v>1 无症状AAA</x:v>
      </x:c>
      <x:c r="D18" s="53" t="str">
        <x:v>快速增长AAA</x:v>
      </x:c>
      <x:c r="E18" s="53" t="str">
        <x:v>rapid growth</x:v>
      </x:c>
      <x:c r="F18" s="53" t="str">
        <x:v>复杂模式</x:v>
      </x:c>
      <x:c r="G18" s="53" t="str">
        <x:v>病种候选词（需上下文判定）</x:v>
      </x:c>
      <x:c r="H18" s="53" t="str">
        <x:v>同方法测量或复核的增长速度≥10 mm/年；当前无急症</x:v>
      </x:c>
      <x:c r="I18" s="53" t="str">
        <x:v>不同模态/切面测量误差未复核</x:v>
      </x:c>
      <x:c r="J18" s="53" t="str">
        <x:v>不得仅凭此词判模式；先全局急诊/复杂覆盖</x:v>
      </x:c>
    </x:row>
    <x:row r="19" ht="41" customHeight="1">
      <x:c r="A19" s="53" t="str">
        <x:v>K015</x:v>
      </x:c>
      <x:c r="B19" s="53" t="str">
        <x:v>R005</x:v>
      </x:c>
      <x:c r="C19" s="53" t="str">
        <x:v>1 无症状AAA</x:v>
      </x:c>
      <x:c r="D19" s="53" t="str">
        <x:v>偶然发现AAA</x:v>
      </x:c>
      <x:c r="E19" s="53" t="str">
        <x:v>体检发现腹主动脉瘤</x:v>
      </x:c>
      <x:c r="F19" s="53" t="str">
        <x:v>指南模式</x:v>
      </x:c>
      <x:c r="G19" s="53" t="str">
        <x:v>病种候选词（需上下文判定）</x:v>
      </x:c>
      <x:c r="H19" s="53" t="str">
        <x:v>影像或超声正式提示AAA AND 当前没有AAA归因性症状</x:v>
      </x:c>
      <x:c r="I19" s="53" t="str">
        <x:v>仅‘腹主动脉扩张’无确诊；筛查正常</x:v>
      </x:c>
      <x:c r="J19" s="53" t="str">
        <x:v>不得仅凭此词判模式；先全局急诊/复杂覆盖</x:v>
      </x:c>
    </x:row>
    <x:row r="20" ht="41" customHeight="1">
      <x:c r="A20" s="53" t="str">
        <x:v>K016</x:v>
      </x:c>
      <x:c r="B20" s="53" t="str">
        <x:v>R005</x:v>
      </x:c>
      <x:c r="C20" s="53" t="str">
        <x:v>1 无症状AAA</x:v>
      </x:c>
      <x:c r="D20" s="53" t="str">
        <x:v>偶然发现AAA</x:v>
      </x:c>
      <x:c r="E20" s="53" t="str">
        <x:v>偶然发现AAA</x:v>
      </x:c>
      <x:c r="F20" s="53" t="str">
        <x:v>指南模式</x:v>
      </x:c>
      <x:c r="G20" s="53" t="str">
        <x:v>病种候选词（需上下文判定）</x:v>
      </x:c>
      <x:c r="H20" s="53" t="str">
        <x:v>影像或超声正式提示AAA AND 当前没有AAA归因性症状</x:v>
      </x:c>
      <x:c r="I20" s="53" t="str">
        <x:v>仅‘腹主动脉扩张’无确诊；筛查正常</x:v>
      </x:c>
      <x:c r="J20" s="53" t="str">
        <x:v>不得仅凭此词判模式；先全局急诊/复杂覆盖</x:v>
      </x:c>
    </x:row>
    <x:row r="21" ht="41" customHeight="1">
      <x:c r="A21" s="53" t="str">
        <x:v>K017</x:v>
      </x:c>
      <x:c r="B21" s="53" t="str">
        <x:v>R005</x:v>
      </x:c>
      <x:c r="C21" s="53" t="str">
        <x:v>1 无症状AAA</x:v>
      </x:c>
      <x:c r="D21" s="53" t="str">
        <x:v>偶然发现AAA</x:v>
      </x:c>
      <x:c r="E21" s="53" t="str">
        <x:v>incidental AAA</x:v>
      </x:c>
      <x:c r="F21" s="53" t="str">
        <x:v>指南模式</x:v>
      </x:c>
      <x:c r="G21" s="53" t="str">
        <x:v>病种候选词（需上下文判定）</x:v>
      </x:c>
      <x:c r="H21" s="53" t="str">
        <x:v>影像或超声正式提示AAA AND 当前没有AAA归因性症状</x:v>
      </x:c>
      <x:c r="I21" s="53" t="str">
        <x:v>仅‘腹主动脉扩张’无确诊；筛查正常</x:v>
      </x:c>
      <x:c r="J21" s="53" t="str">
        <x:v>不得仅凭此词判模式；先全局急诊/复杂覆盖</x:v>
      </x:c>
    </x:row>
    <x:row r="22" ht="41" customHeight="1">
      <x:c r="A22" s="53" t="str">
        <x:v>K018</x:v>
      </x:c>
      <x:c r="B22" s="53" t="str">
        <x:v>R006</x:v>
      </x:c>
      <x:c r="C22" s="53" t="str">
        <x:v>1 无症状AAA</x:v>
      </x:c>
      <x:c r="D22" s="53" t="str">
        <x:v>小AAA随访复查</x:v>
      </x:c>
      <x:c r="E22" s="53" t="str">
        <x:v>小动脉瘤复查</x:v>
      </x:c>
      <x:c r="F22" s="53" t="str">
        <x:v>指南模式</x:v>
      </x:c>
      <x:c r="G22" s="53" t="str">
        <x:v>病种候选词（需上下文判定）</x:v>
      </x:c>
      <x:c r="H22" s="53" t="str">
        <x:v>原生AAA AND 无症状 AND 无新增高危信号</x:v>
      </x:c>
      <x:c r="I22" s="53" t="str">
        <x:v>EVAR/OSR术后随访需转第7类</x:v>
      </x:c>
      <x:c r="J22" s="53" t="str">
        <x:v>不得仅凭此词判模式；先全局急诊/复杂覆盖</x:v>
      </x:c>
    </x:row>
    <x:row r="23" ht="41" customHeight="1">
      <x:c r="A23" s="53" t="str">
        <x:v>K019</x:v>
      </x:c>
      <x:c r="B23" s="53" t="str">
        <x:v>R006</x:v>
      </x:c>
      <x:c r="C23" s="53" t="str">
        <x:v>1 无症状AAA</x:v>
      </x:c>
      <x:c r="D23" s="53" t="str">
        <x:v>小AAA随访复查</x:v>
      </x:c>
      <x:c r="E23" s="53" t="str">
        <x:v>AAA随访</x:v>
      </x:c>
      <x:c r="F23" s="53" t="str">
        <x:v>指南模式</x:v>
      </x:c>
      <x:c r="G23" s="53" t="str">
        <x:v>病种候选词（需上下文判定）</x:v>
      </x:c>
      <x:c r="H23" s="53" t="str">
        <x:v>原生AAA AND 无症状 AND 无新增高危信号</x:v>
      </x:c>
      <x:c r="I23" s="53" t="str">
        <x:v>EVAR/OSR术后随访需转第7类</x:v>
      </x:c>
      <x:c r="J23" s="53" t="str">
        <x:v>不得仅凭此词判模式；先全局急诊/复杂覆盖</x:v>
      </x:c>
    </x:row>
    <x:row r="24" ht="41" customHeight="1">
      <x:c r="A24" s="53" t="str">
        <x:v>K020</x:v>
      </x:c>
      <x:c r="B24" s="53" t="str">
        <x:v>R006</x:v>
      </x:c>
      <x:c r="C24" s="53" t="str">
        <x:v>1 无症状AAA</x:v>
      </x:c>
      <x:c r="D24" s="53" t="str">
        <x:v>小AAA随访复查</x:v>
      </x:c>
      <x:c r="E24" s="53" t="str">
        <x:v>surveillance small AAA</x:v>
      </x:c>
      <x:c r="F24" s="53" t="str">
        <x:v>指南模式</x:v>
      </x:c>
      <x:c r="G24" s="53" t="str">
        <x:v>病种候选词（需上下文判定）</x:v>
      </x:c>
      <x:c r="H24" s="53" t="str">
        <x:v>原生AAA AND 无症状 AND 无新增高危信号</x:v>
      </x:c>
      <x:c r="I24" s="53" t="str">
        <x:v>EVAR/OSR术后随访需转第7类</x:v>
      </x:c>
      <x:c r="J24" s="53" t="str">
        <x:v>不得仅凭此词判模式；先全局急诊/复杂覆盖</x:v>
      </x:c>
    </x:row>
    <x:row r="25" ht="41" customHeight="1">
      <x:c r="A25" s="53" t="str">
        <x:v>K021</x:v>
      </x:c>
      <x:c r="B25" s="53" t="str">
        <x:v>R007</x:v>
      </x:c>
      <x:c r="C25" s="53" t="str">
        <x:v>1 无症状AAA</x:v>
      </x:c>
      <x:c r="D25" s="53" t="str">
        <x:v>瘤颈标准但直径待补</x:v>
      </x:c>
      <x:c r="E25" s="53" t="str">
        <x:v>无症状肾下型AAA</x:v>
      </x:c>
      <x:c r="F25" s="53" t="str">
        <x:v>复杂模式</x:v>
      </x:c>
      <x:c r="G25" s="53" t="str">
        <x:v>病种候选词（需上下文判定）</x:v>
      </x:c>
      <x:c r="H25" s="53" t="str">
        <x:v>确诊无症状AAA；直径、性别、治疗史至少部分缺失</x:v>
      </x:c>
      <x:c r="I25" s="53" t="str">
        <x:v>无任何诊断证据，仅检索性词句</x:v>
      </x:c>
      <x:c r="J25" s="53" t="str">
        <x:v>不得仅凭此词判模式；先全局急诊/复杂覆盖</x:v>
      </x:c>
    </x:row>
    <x:row r="26" ht="41" customHeight="1">
      <x:c r="A26" s="53" t="str">
        <x:v>K022</x:v>
      </x:c>
      <x:c r="B26" s="53" t="str">
        <x:v>R007</x:v>
      </x:c>
      <x:c r="C26" s="53" t="str">
        <x:v>1 无症状AAA</x:v>
      </x:c>
      <x:c r="D26" s="53" t="str">
        <x:v>瘤颈标准但直径待补</x:v>
      </x:c>
      <x:c r="E26" s="53" t="str">
        <x:v>asymptomatic infrarenal AAA</x:v>
      </x:c>
      <x:c r="F26" s="53" t="str">
        <x:v>复杂模式</x:v>
      </x:c>
      <x:c r="G26" s="53" t="str">
        <x:v>病种候选词（需上下文判定）</x:v>
      </x:c>
      <x:c r="H26" s="53" t="str">
        <x:v>确诊无症状AAA；直径、性别、治疗史至少部分缺失</x:v>
      </x:c>
      <x:c r="I26" s="53" t="str">
        <x:v>无任何诊断证据，仅检索性词句</x:v>
      </x:c>
      <x:c r="J26" s="53" t="str">
        <x:v>不得仅凭此词判模式；先全局急诊/复杂覆盖</x:v>
      </x:c>
    </x:row>
    <x:row r="27" ht="41" customHeight="1">
      <x:c r="A27" s="53" t="str">
        <x:v>K023</x:v>
      </x:c>
      <x:c r="B27" s="53" t="str">
        <x:v>R008</x:v>
      </x:c>
      <x:c r="C27" s="53" t="str">
        <x:v>1 无症状AAA</x:v>
      </x:c>
      <x:c r="D27" s="53" t="str">
        <x:v>瘤体非标准形态的无症状AAA</x:v>
      </x:c>
      <x:c r="E27" s="53" t="str">
        <x:v>非典型形态AAA</x:v>
      </x:c>
      <x:c r="F27" s="53" t="str">
        <x:v>复杂模式</x:v>
      </x:c>
      <x:c r="G27" s="53" t="str">
        <x:v>病种候选词（需上下文判定）</x:v>
      </x:c>
      <x:c r="H27" s="53" t="str">
        <x:v>需确认确实存在影像异常并描述具体特征</x:v>
      </x:c>
      <x:c r="I27" s="53" t="str">
        <x:v>仅影像报告提到‘形态规则’</x:v>
      </x:c>
      <x:c r="J27" s="53" t="str">
        <x:v>不得仅凭此词判模式；先全局急诊/复杂覆盖</x:v>
      </x:c>
    </x:row>
    <x:row r="28" ht="41" customHeight="1">
      <x:c r="A28" s="53" t="str">
        <x:v>K024</x:v>
      </x:c>
      <x:c r="B28" s="53" t="str">
        <x:v>R008</x:v>
      </x:c>
      <x:c r="C28" s="53" t="str">
        <x:v>1 无症状AAA</x:v>
      </x:c>
      <x:c r="D28" s="53" t="str">
        <x:v>瘤体非标准形态的无症状AAA</x:v>
      </x:c>
      <x:c r="E28" s="53" t="str">
        <x:v>不规则形态瘤</x:v>
      </x:c>
      <x:c r="F28" s="53" t="str">
        <x:v>复杂模式</x:v>
      </x:c>
      <x:c r="G28" s="53" t="str">
        <x:v>病种候选词（需上下文判定）</x:v>
      </x:c>
      <x:c r="H28" s="53" t="str">
        <x:v>需确认确实存在影像异常并描述具体特征</x:v>
      </x:c>
      <x:c r="I28" s="53" t="str">
        <x:v>仅影像报告提到‘形态规则’</x:v>
      </x:c>
      <x:c r="J28" s="53" t="str">
        <x:v>不得仅凭此词判模式；先全局急诊/复杂覆盖</x:v>
      </x:c>
    </x:row>
    <x:row r="29" ht="41" customHeight="1">
      <x:c r="A29" s="53" t="str">
        <x:v>K025</x:v>
      </x:c>
      <x:c r="B29" s="53" t="str">
        <x:v>R008</x:v>
      </x:c>
      <x:c r="C29" s="53" t="str">
        <x:v>1 无症状AAA</x:v>
      </x:c>
      <x:c r="D29" s="53" t="str">
        <x:v>瘤体非标准形态的无症状AAA</x:v>
      </x:c>
      <x:c r="E29" s="53" t="str">
        <x:v>irregular AAA morphology</x:v>
      </x:c>
      <x:c r="F29" s="53" t="str">
        <x:v>复杂模式</x:v>
      </x:c>
      <x:c r="G29" s="53" t="str">
        <x:v>病种候选词（需上下文判定）</x:v>
      </x:c>
      <x:c r="H29" s="53" t="str">
        <x:v>需确认确实存在影像异常并描述具体特征</x:v>
      </x:c>
      <x:c r="I29" s="53" t="str">
        <x:v>仅影像报告提到‘形态规则’</x:v>
      </x:c>
      <x:c r="J29" s="53" t="str">
        <x:v>不得仅凭此词判模式；先全局急诊/复杂覆盖</x:v>
      </x:c>
    </x:row>
    <x:row r="30" ht="41" customHeight="1">
      <x:c r="A30" s="53" t="str">
        <x:v>K026</x:v>
      </x:c>
      <x:c r="B30" s="53" t="str">
        <x:v>R009</x:v>
      </x:c>
      <x:c r="C30" s="53" t="str">
        <x:v>2 症状性未破裂AAA</x:v>
      </x:c>
      <x:c r="D30" s="53" t="str">
        <x:v>AAA相关新发腹痛</x:v>
      </x:c>
      <x:c r="E30" s="53" t="str">
        <x:v>症状性腹主动脉瘤</x:v>
      </x:c>
      <x:c r="F30" s="53" t="str">
        <x:v>急诊模式</x:v>
      </x:c>
      <x:c r="G30" s="53" t="str">
        <x:v>病种候选词（需上下文判定）</x:v>
      </x:c>
      <x:c r="H30" s="53" t="str">
        <x:v>AAA存在 AND 医生判断疼痛可能与AAA有关；破裂尚未证实</x:v>
      </x:c>
      <x:c r="I30" s="53" t="str">
        <x:v>非AAA原因明确的慢性腹痛；仅病历否认腹痛</x:v>
      </x:c>
      <x:c r="J30" s="53" t="str">
        <x:v>不得仅凭此词判模式；先全局急诊/复杂覆盖</x:v>
      </x:c>
    </x:row>
    <x:row r="31" ht="41" customHeight="1">
      <x:c r="A31" s="53" t="str">
        <x:v>K027</x:v>
      </x:c>
      <x:c r="B31" s="53" t="str">
        <x:v>R009</x:v>
      </x:c>
      <x:c r="C31" s="53" t="str">
        <x:v>2 症状性未破裂AAA</x:v>
      </x:c>
      <x:c r="D31" s="53" t="str">
        <x:v>AAA相关新发腹痛</x:v>
      </x:c>
      <x:c r="E31" s="53" t="str">
        <x:v>AAA相关腹痛</x:v>
      </x:c>
      <x:c r="F31" s="53" t="str">
        <x:v>急诊模式</x:v>
      </x:c>
      <x:c r="G31" s="53" t="str">
        <x:v>病种候选词（需上下文判定）</x:v>
      </x:c>
      <x:c r="H31" s="53" t="str">
        <x:v>AAA存在 AND 医生判断疼痛可能与AAA有关；破裂尚未证实</x:v>
      </x:c>
      <x:c r="I31" s="53" t="str">
        <x:v>非AAA原因明确的慢性腹痛；仅病历否认腹痛</x:v>
      </x:c>
      <x:c r="J31" s="53" t="str">
        <x:v>不得仅凭此词判模式；先全局急诊/复杂覆盖</x:v>
      </x:c>
    </x:row>
    <x:row r="32" ht="41" customHeight="1">
      <x:c r="A32" s="53" t="str">
        <x:v>K028</x:v>
      </x:c>
      <x:c r="B32" s="53" t="str">
        <x:v>R009</x:v>
      </x:c>
      <x:c r="C32" s="53" t="str">
        <x:v>2 症状性未破裂AAA</x:v>
      </x:c>
      <x:c r="D32" s="53" t="str">
        <x:v>AAA相关新发腹痛</x:v>
      </x:c>
      <x:c r="E32" s="53" t="str">
        <x:v>symptomatic AAA</x:v>
      </x:c>
      <x:c r="F32" s="53" t="str">
        <x:v>急诊模式</x:v>
      </x:c>
      <x:c r="G32" s="53" t="str">
        <x:v>病种候选词（需上下文判定）</x:v>
      </x:c>
      <x:c r="H32" s="53" t="str">
        <x:v>AAA存在 AND 医生判断疼痛可能与AAA有关；破裂尚未证实</x:v>
      </x:c>
      <x:c r="I32" s="53" t="str">
        <x:v>非AAA原因明确的慢性腹痛；仅病历否认腹痛</x:v>
      </x:c>
      <x:c r="J32" s="53" t="str">
        <x:v>不得仅凭此词判模式；先全局急诊/复杂覆盖</x:v>
      </x:c>
    </x:row>
    <x:row r="33" ht="41" customHeight="1">
      <x:c r="A33" s="53" t="str">
        <x:v>K029</x:v>
      </x:c>
      <x:c r="B33" s="53" t="str">
        <x:v>R009</x:v>
      </x:c>
      <x:c r="C33" s="53" t="str">
        <x:v>2 症状性未破裂AAA</x:v>
      </x:c>
      <x:c r="D33" s="53" t="str">
        <x:v>AAA相关新发腹痛</x:v>
      </x:c>
      <x:c r="E33" s="53" t="str">
        <x:v>new abdominal pain AAA</x:v>
      </x:c>
      <x:c r="F33" s="53" t="str">
        <x:v>急诊模式</x:v>
      </x:c>
      <x:c r="G33" s="53" t="str">
        <x:v>病种候选词（需上下文判定）</x:v>
      </x:c>
      <x:c r="H33" s="53" t="str">
        <x:v>AAA存在 AND 医生判断疼痛可能与AAA有关；破裂尚未证实</x:v>
      </x:c>
      <x:c r="I33" s="53" t="str">
        <x:v>非AAA原因明确的慢性腹痛；仅病历否认腹痛</x:v>
      </x:c>
      <x:c r="J33" s="53" t="str">
        <x:v>不得仅凭此词判模式；先全局急诊/复杂覆盖</x:v>
      </x:c>
    </x:row>
    <x:row r="34" ht="41" customHeight="1">
      <x:c r="A34" s="53" t="str">
        <x:v>K030</x:v>
      </x:c>
      <x:c r="B34" s="53" t="str">
        <x:v>R010</x:v>
      </x:c>
      <x:c r="C34" s="53" t="str">
        <x:v>2 症状性未破裂AAA</x:v>
      </x:c>
      <x:c r="D34" s="53" t="str">
        <x:v>AAA相关腰背痛</x:v>
      </x:c>
      <x:c r="E34" s="53" t="str">
        <x:v>AAA相关背痛</x:v>
      </x:c>
      <x:c r="F34" s="53" t="str">
        <x:v>急诊模式</x:v>
      </x:c>
      <x:c r="G34" s="53" t="str">
        <x:v>病种候选词（需上下文判定）</x:v>
      </x:c>
      <x:c r="H34" s="53" t="str">
        <x:v>新发/进行性疼痛 AND AAA可能为原因</x:v>
      </x:c>
      <x:c r="I34" s="53" t="str">
        <x:v>既往长期腰痛明确其他病因；否认背痛</x:v>
      </x:c>
      <x:c r="J34" s="53" t="str">
        <x:v>不得仅凭此词判模式；先全局急诊/复杂覆盖</x:v>
      </x:c>
    </x:row>
    <x:row r="35" ht="41" customHeight="1">
      <x:c r="A35" s="53" t="str">
        <x:v>K031</x:v>
      </x:c>
      <x:c r="B35" s="53" t="str">
        <x:v>R010</x:v>
      </x:c>
      <x:c r="C35" s="53" t="str">
        <x:v>2 症状性未破裂AAA</x:v>
      </x:c>
      <x:c r="D35" s="53" t="str">
        <x:v>AAA相关腰背痛</x:v>
      </x:c>
      <x:c r="E35" s="53" t="str">
        <x:v>腰背痛伴AAA</x:v>
      </x:c>
      <x:c r="F35" s="53" t="str">
        <x:v>急诊模式</x:v>
      </x:c>
      <x:c r="G35" s="53" t="str">
        <x:v>病种候选词（需上下文判定）</x:v>
      </x:c>
      <x:c r="H35" s="53" t="str">
        <x:v>新发/进行性疼痛 AND AAA可能为原因</x:v>
      </x:c>
      <x:c r="I35" s="53" t="str">
        <x:v>既往长期腰痛明确其他病因；否认背痛</x:v>
      </x:c>
      <x:c r="J35" s="53" t="str">
        <x:v>不得仅凭此词判模式；先全局急诊/复杂覆盖</x:v>
      </x:c>
    </x:row>
    <x:row r="36" ht="41" customHeight="1">
      <x:c r="A36" s="53" t="str">
        <x:v>K032</x:v>
      </x:c>
      <x:c r="B36" s="53" t="str">
        <x:v>R010</x:v>
      </x:c>
      <x:c r="C36" s="53" t="str">
        <x:v>2 症状性未破裂AAA</x:v>
      </x:c>
      <x:c r="D36" s="53" t="str">
        <x:v>AAA相关腰背痛</x:v>
      </x:c>
      <x:c r="E36" s="53" t="str">
        <x:v>back pain with AAA</x:v>
      </x:c>
      <x:c r="F36" s="53" t="str">
        <x:v>急诊模式</x:v>
      </x:c>
      <x:c r="G36" s="53" t="str">
        <x:v>病种候选词（需上下文判定）</x:v>
      </x:c>
      <x:c r="H36" s="53" t="str">
        <x:v>新发/进行性疼痛 AND AAA可能为原因</x:v>
      </x:c>
      <x:c r="I36" s="53" t="str">
        <x:v>既往长期腰痛明确其他病因；否认背痛</x:v>
      </x:c>
      <x:c r="J36" s="53" t="str">
        <x:v>不得仅凭此词判模式；先全局急诊/复杂覆盖</x:v>
      </x:c>
    </x:row>
    <x:row r="37" ht="41" customHeight="1">
      <x:c r="A37" s="53" t="str">
        <x:v>K033</x:v>
      </x:c>
      <x:c r="B37" s="53" t="str">
        <x:v>R011</x:v>
      </x:c>
      <x:c r="C37" s="53" t="str">
        <x:v>2 症状性未破裂AAA</x:v>
      </x:c>
      <x:c r="D37" s="53" t="str">
        <x:v>触痛或压痛性AAA</x:v>
      </x:c>
      <x:c r="E37" s="53" t="str">
        <x:v>动脉瘤压痛</x:v>
      </x:c>
      <x:c r="F37" s="53" t="str">
        <x:v>急诊模式</x:v>
      </x:c>
      <x:c r="G37" s="53" t="str">
        <x:v>病种候选词（需上下文判定）</x:v>
      </x:c>
      <x:c r="H37" s="53" t="str">
        <x:v>临床检查明确AAA区触痛/压痛</x:v>
      </x:c>
      <x:c r="I37" s="53" t="str">
        <x:v>未确证体征或否认压痛</x:v>
      </x:c>
      <x:c r="J37" s="53" t="str">
        <x:v>不得仅凭此词判模式；先全局急诊/复杂覆盖</x:v>
      </x:c>
    </x:row>
    <x:row r="38" ht="41" customHeight="1">
      <x:c r="A38" s="53" t="str">
        <x:v>K034</x:v>
      </x:c>
      <x:c r="B38" s="53" t="str">
        <x:v>R011</x:v>
      </x:c>
      <x:c r="C38" s="53" t="str">
        <x:v>2 症状性未破裂AAA</x:v>
      </x:c>
      <x:c r="D38" s="53" t="str">
        <x:v>触痛或压痛性AAA</x:v>
      </x:c>
      <x:c r="E38" s="53" t="str">
        <x:v>搏动性肿块压痛</x:v>
      </x:c>
      <x:c r="F38" s="53" t="str">
        <x:v>急诊模式</x:v>
      </x:c>
      <x:c r="G38" s="53" t="str">
        <x:v>病种候选词（需上下文判定）</x:v>
      </x:c>
      <x:c r="H38" s="53" t="str">
        <x:v>临床检查明确AAA区触痛/压痛</x:v>
      </x:c>
      <x:c r="I38" s="53" t="str">
        <x:v>未确证体征或否认压痛</x:v>
      </x:c>
      <x:c r="J38" s="53" t="str">
        <x:v>不得仅凭此词判模式；先全局急诊/复杂覆盖</x:v>
      </x:c>
    </x:row>
    <x:row r="39" ht="41" customHeight="1">
      <x:c r="A39" s="53" t="str">
        <x:v>K035</x:v>
      </x:c>
      <x:c r="B39" s="53" t="str">
        <x:v>R011</x:v>
      </x:c>
      <x:c r="C39" s="53" t="str">
        <x:v>2 症状性未破裂AAA</x:v>
      </x:c>
      <x:c r="D39" s="53" t="str">
        <x:v>触痛或压痛性AAA</x:v>
      </x:c>
      <x:c r="E39" s="53" t="str">
        <x:v>tender AAA</x:v>
      </x:c>
      <x:c r="F39" s="53" t="str">
        <x:v>急诊模式</x:v>
      </x:c>
      <x:c r="G39" s="53" t="str">
        <x:v>病种候选词（需上下文判定）</x:v>
      </x:c>
      <x:c r="H39" s="53" t="str">
        <x:v>临床检查明确AAA区触痛/压痛</x:v>
      </x:c>
      <x:c r="I39" s="53" t="str">
        <x:v>未确证体征或否认压痛</x:v>
      </x:c>
      <x:c r="J39" s="53" t="str">
        <x:v>不得仅凭此词判模式；先全局急诊/复杂覆盖</x:v>
      </x:c>
    </x:row>
    <x:row r="40" ht="41" customHeight="1">
      <x:c r="A40" s="53" t="str">
        <x:v>K036</x:v>
      </x:c>
      <x:c r="B40" s="53" t="str">
        <x:v>R012</x:v>
      </x:c>
      <x:c r="C40" s="53" t="str">
        <x:v>2 症状性未破裂AAA</x:v>
      </x:c>
      <x:c r="D40" s="53" t="str">
        <x:v>AAA相关远端栓塞</x:v>
      </x:c>
      <x:c r="E40" s="53" t="str">
        <x:v>蓝趾综合征</x:v>
      </x:c>
      <x:c r="F40" s="53" t="str">
        <x:v>急诊模式</x:v>
      </x:c>
      <x:c r="G40" s="53" t="str">
        <x:v>病种候选词（需上下文判定）</x:v>
      </x:c>
      <x:c r="H40" s="53" t="str">
        <x:v>AAA可能为栓子来源或已有临床判断</x:v>
      </x:c>
      <x:c r="I40" s="53" t="str">
        <x:v>蓝趾由其他明确来源造成</x:v>
      </x:c>
      <x:c r="J40" s="53" t="str">
        <x:v>不得仅凭此词判模式；先全局急诊/复杂覆盖</x:v>
      </x:c>
    </x:row>
    <x:row r="41" ht="41" customHeight="1">
      <x:c r="A41" s="53" t="str">
        <x:v>K037</x:v>
      </x:c>
      <x:c r="B41" s="53" t="str">
        <x:v>R012</x:v>
      </x:c>
      <x:c r="C41" s="53" t="str">
        <x:v>2 症状性未破裂AAA</x:v>
      </x:c>
      <x:c r="D41" s="53" t="str">
        <x:v>AAA相关远端栓塞</x:v>
      </x:c>
      <x:c r="E41" s="53" t="str">
        <x:v>远端栓塞伴AAA</x:v>
      </x:c>
      <x:c r="F41" s="53" t="str">
        <x:v>急诊模式</x:v>
      </x:c>
      <x:c r="G41" s="53" t="str">
        <x:v>病种候选词（需上下文判定）</x:v>
      </x:c>
      <x:c r="H41" s="53" t="str">
        <x:v>AAA可能为栓子来源或已有临床判断</x:v>
      </x:c>
      <x:c r="I41" s="53" t="str">
        <x:v>蓝趾由其他明确来源造成</x:v>
      </x:c>
      <x:c r="J41" s="53" t="str">
        <x:v>不得仅凭此词判模式；先全局急诊/复杂覆盖</x:v>
      </x:c>
    </x:row>
    <x:row r="42" ht="41" customHeight="1">
      <x:c r="A42" s="53" t="str">
        <x:v>K038</x:v>
      </x:c>
      <x:c r="B42" s="53" t="str">
        <x:v>R012</x:v>
      </x:c>
      <x:c r="C42" s="53" t="str">
        <x:v>2 症状性未破裂AAA</x:v>
      </x:c>
      <x:c r="D42" s="53" t="str">
        <x:v>AAA相关远端栓塞</x:v>
      </x:c>
      <x:c r="E42" s="53" t="str">
        <x:v>blue toe syndrome</x:v>
      </x:c>
      <x:c r="F42" s="53" t="str">
        <x:v>急诊模式</x:v>
      </x:c>
      <x:c r="G42" s="53" t="str">
        <x:v>病种候选词（需上下文判定）</x:v>
      </x:c>
      <x:c r="H42" s="53" t="str">
        <x:v>AAA可能为栓子来源或已有临床判断</x:v>
      </x:c>
      <x:c r="I42" s="53" t="str">
        <x:v>蓝趾由其他明确来源造成</x:v>
      </x:c>
      <x:c r="J42" s="53" t="str">
        <x:v>不得仅凭此词判模式；先全局急诊/复杂覆盖</x:v>
      </x:c>
    </x:row>
    <x:row r="43" ht="41" customHeight="1">
      <x:c r="A43" s="53" t="str">
        <x:v>K039</x:v>
      </x:c>
      <x:c r="B43" s="53" t="str">
        <x:v>R012</x:v>
      </x:c>
      <x:c r="C43" s="53" t="str">
        <x:v>2 症状性未破裂AAA</x:v>
      </x:c>
      <x:c r="D43" s="53" t="str">
        <x:v>AAA相关远端栓塞</x:v>
      </x:c>
      <x:c r="E43" s="53" t="str">
        <x:v>distal embolization AAA</x:v>
      </x:c>
      <x:c r="F43" s="53" t="str">
        <x:v>急诊模式</x:v>
      </x:c>
      <x:c r="G43" s="53" t="str">
        <x:v>病种候选词（需上下文判定）</x:v>
      </x:c>
      <x:c r="H43" s="53" t="str">
        <x:v>AAA可能为栓子来源或已有临床判断</x:v>
      </x:c>
      <x:c r="I43" s="53" t="str">
        <x:v>蓝趾由其他明确来源造成</x:v>
      </x:c>
      <x:c r="J43" s="53" t="str">
        <x:v>不得仅凭此词判模式；先全局急诊/复杂覆盖</x:v>
      </x:c>
    </x:row>
    <x:row r="44" ht="41" customHeight="1">
      <x:c r="A44" s="53" t="str">
        <x:v>K040</x:v>
      </x:c>
      <x:c r="B44" s="53" t="str">
        <x:v>R013</x:v>
      </x:c>
      <x:c r="C44" s="53" t="str">
        <x:v>2 症状性未破裂AAA</x:v>
      </x:c>
      <x:c r="D44" s="53" t="str">
        <x:v>AAA相关压迫症状</x:v>
      </x:c>
      <x:c r="E44" s="53" t="str">
        <x:v>动脉瘤压迫输尿管</x:v>
      </x:c>
      <x:c r="F44" s="53" t="str">
        <x:v>急诊模式</x:v>
      </x:c>
      <x:c r="G44" s="53" t="str">
        <x:v>病种候选词（需上下文判定）</x:v>
      </x:c>
      <x:c r="H44" s="53" t="str">
        <x:v>确有受压器官与AAA的影像/临床关联</x:v>
      </x:c>
      <x:c r="I44" s="53" t="str">
        <x:v>压迫来自肿瘤、其他占位等明确原因</x:v>
      </x:c>
      <x:c r="J44" s="53" t="str">
        <x:v>不得仅凭此词判模式；先全局急诊/复杂覆盖</x:v>
      </x:c>
    </x:row>
    <x:row r="45" ht="41" customHeight="1">
      <x:c r="A45" s="53" t="str">
        <x:v>K041</x:v>
      </x:c>
      <x:c r="B45" s="53" t="str">
        <x:v>R013</x:v>
      </x:c>
      <x:c r="C45" s="53" t="str">
        <x:v>2 症状性未破裂AAA</x:v>
      </x:c>
      <x:c r="D45" s="53" t="str">
        <x:v>AAA相关压迫症状</x:v>
      </x:c>
      <x:c r="E45" s="53" t="str">
        <x:v>AAA占位压迫</x:v>
      </x:c>
      <x:c r="F45" s="53" t="str">
        <x:v>急诊模式</x:v>
      </x:c>
      <x:c r="G45" s="53" t="str">
        <x:v>病种候选词（需上下文判定）</x:v>
      </x:c>
      <x:c r="H45" s="53" t="str">
        <x:v>确有受压器官与AAA的影像/临床关联</x:v>
      </x:c>
      <x:c r="I45" s="53" t="str">
        <x:v>压迫来自肿瘤、其他占位等明确原因</x:v>
      </x:c>
      <x:c r="J45" s="53" t="str">
        <x:v>不得仅凭此词判模式；先全局急诊/复杂覆盖</x:v>
      </x:c>
    </x:row>
    <x:row r="46" ht="41" customHeight="1">
      <x:c r="A46" s="53" t="str">
        <x:v>K042</x:v>
      </x:c>
      <x:c r="B46" s="53" t="str">
        <x:v>R013</x:v>
      </x:c>
      <x:c r="C46" s="53" t="str">
        <x:v>2 症状性未破裂AAA</x:v>
      </x:c>
      <x:c r="D46" s="53" t="str">
        <x:v>AAA相关压迫症状</x:v>
      </x:c>
      <x:c r="E46" s="53" t="str">
        <x:v>AAA compressive symptoms</x:v>
      </x:c>
      <x:c r="F46" s="53" t="str">
        <x:v>急诊模式</x:v>
      </x:c>
      <x:c r="G46" s="53" t="str">
        <x:v>病种候选词（需上下文判定）</x:v>
      </x:c>
      <x:c r="H46" s="53" t="str">
        <x:v>确有受压器官与AAA的影像/临床关联</x:v>
      </x:c>
      <x:c r="I46" s="53" t="str">
        <x:v>压迫来自肿瘤、其他占位等明确原因</x:v>
      </x:c>
      <x:c r="J46" s="53" t="str">
        <x:v>不得仅凭此词判模式；先全局急诊/复杂覆盖</x:v>
      </x:c>
    </x:row>
    <x:row r="47" ht="41" customHeight="1">
      <x:c r="A47" s="53" t="str">
        <x:v>K043</x:v>
      </x:c>
      <x:c r="B47" s="53" t="str">
        <x:v>R014</x:v>
      </x:c>
      <x:c r="C47" s="53" t="str">
        <x:v>2 症状性未破裂AAA</x:v>
      </x:c>
      <x:c r="D47" s="53" t="str">
        <x:v>伴急性下肢缺血的AAA</x:v>
      </x:c>
      <x:c r="E47" s="53" t="str">
        <x:v>急性下肢缺血伴AAA</x:v>
      </x:c>
      <x:c r="F47" s="53" t="str">
        <x:v>急诊模式</x:v>
      </x:c>
      <x:c r="G47" s="53" t="str">
        <x:v>病种候选词（需上下文判定）</x:v>
      </x:c>
      <x:c r="H47" s="53" t="str">
        <x:v>急性肢体缺血客观征象或临床高度怀疑</x:v>
      </x:c>
      <x:c r="I47" s="53" t="str">
        <x:v>慢性间歇性跛行但无急性缺血</x:v>
      </x:c>
      <x:c r="J47" s="53" t="str">
        <x:v>不得仅凭此词判模式；先全局急诊/复杂覆盖</x:v>
      </x:c>
    </x:row>
    <x:row r="48" ht="41" customHeight="1">
      <x:c r="A48" s="53" t="str">
        <x:v>K044</x:v>
      </x:c>
      <x:c r="B48" s="53" t="str">
        <x:v>R014</x:v>
      </x:c>
      <x:c r="C48" s="53" t="str">
        <x:v>2 症状性未破裂AAA</x:v>
      </x:c>
      <x:c r="D48" s="53" t="str">
        <x:v>伴急性下肢缺血的AAA</x:v>
      </x:c>
      <x:c r="E48" s="53" t="str">
        <x:v>AAA distal acute ischemia</x:v>
      </x:c>
      <x:c r="F48" s="53" t="str">
        <x:v>急诊模式</x:v>
      </x:c>
      <x:c r="G48" s="53" t="str">
        <x:v>病种候选词（需上下文判定）</x:v>
      </x:c>
      <x:c r="H48" s="53" t="str">
        <x:v>急性肢体缺血客观征象或临床高度怀疑</x:v>
      </x:c>
      <x:c r="I48" s="53" t="str">
        <x:v>慢性间歇性跛行但无急性缺血</x:v>
      </x:c>
      <x:c r="J48" s="53" t="str">
        <x:v>不得仅凭此词判模式；先全局急诊/复杂覆盖</x:v>
      </x:c>
    </x:row>
    <x:row r="49" ht="41" customHeight="1">
      <x:c r="A49" s="53" t="str">
        <x:v>K045</x:v>
      </x:c>
      <x:c r="B49" s="53" t="str">
        <x:v>R014</x:v>
      </x:c>
      <x:c r="C49" s="53" t="str">
        <x:v>2 症状性未破裂AAA</x:v>
      </x:c>
      <x:c r="D49" s="53" t="str">
        <x:v>伴急性下肢缺血的AAA</x:v>
      </x:c>
      <x:c r="E49" s="53" t="str">
        <x:v>acute limb ischemia AAA</x:v>
      </x:c>
      <x:c r="F49" s="53" t="str">
        <x:v>急诊模式</x:v>
      </x:c>
      <x:c r="G49" s="53" t="str">
        <x:v>病种候选词（需上下文判定）</x:v>
      </x:c>
      <x:c r="H49" s="53" t="str">
        <x:v>急性肢体缺血客观征象或临床高度怀疑</x:v>
      </x:c>
      <x:c r="I49" s="53" t="str">
        <x:v>慢性间歇性跛行但无急性缺血</x:v>
      </x:c>
      <x:c r="J49" s="53" t="str">
        <x:v>不得仅凭此词判模式；先全局急诊/复杂覆盖</x:v>
      </x:c>
    </x:row>
    <x:row r="50" ht="41" customHeight="1">
      <x:c r="A50" s="53" t="str">
        <x:v>K046</x:v>
      </x:c>
      <x:c r="B50" s="53" t="str">
        <x:v>R015</x:v>
      </x:c>
      <x:c r="C50" s="53" t="str">
        <x:v>2 症状性未破裂AAA</x:v>
      </x:c>
      <x:c r="D50" s="53" t="str">
        <x:v>稳定症状性未破裂AAA</x:v>
      </x:c>
      <x:c r="E50" s="53" t="str">
        <x:v>稳定症状性AAA</x:v>
      </x:c>
      <x:c r="F50" s="53" t="str">
        <x:v>急诊模式</x:v>
      </x:c>
      <x:c r="G50" s="53" t="str">
        <x:v>病种候选词（需上下文判定）</x:v>
      </x:c>
      <x:c r="H50" s="53" t="str">
        <x:v>症状被认为来自AAA AND 目前血流动力学稳定 AND 暂无证实破裂</x:v>
      </x:c>
      <x:c r="I50" s="53" t="str">
        <x:v>既往既发症状目前完全无关；‘排除症状性’</x:v>
      </x:c>
      <x:c r="J50" s="53" t="str">
        <x:v>不得仅凭此词判模式；先全局急诊/复杂覆盖</x:v>
      </x:c>
    </x:row>
    <x:row r="51" ht="41" customHeight="1">
      <x:c r="A51" s="53" t="str">
        <x:v>K047</x:v>
      </x:c>
      <x:c r="B51" s="53" t="str">
        <x:v>R015</x:v>
      </x:c>
      <x:c r="C51" s="53" t="str">
        <x:v>2 症状性未破裂AAA</x:v>
      </x:c>
      <x:c r="D51" s="53" t="str">
        <x:v>稳定症状性未破裂AAA</x:v>
      </x:c>
      <x:c r="E51" s="53" t="str">
        <x:v>稳定未破裂症状性AAA</x:v>
      </x:c>
      <x:c r="F51" s="53" t="str">
        <x:v>急诊模式</x:v>
      </x:c>
      <x:c r="G51" s="53" t="str">
        <x:v>病种候选词（需上下文判定）</x:v>
      </x:c>
      <x:c r="H51" s="53" t="str">
        <x:v>症状被认为来自AAA AND 目前血流动力学稳定 AND 暂无证实破裂</x:v>
      </x:c>
      <x:c r="I51" s="53" t="str">
        <x:v>既往既发症状目前完全无关；‘排除症状性’</x:v>
      </x:c>
      <x:c r="J51" s="53" t="str">
        <x:v>不得仅凭此词判模式；先全局急诊/复杂覆盖</x:v>
      </x:c>
    </x:row>
    <x:row r="52" ht="41" customHeight="1">
      <x:c r="A52" s="53" t="str">
        <x:v>K048</x:v>
      </x:c>
      <x:c r="B52" s="53" t="str">
        <x:v>R015</x:v>
      </x:c>
      <x:c r="C52" s="53" t="str">
        <x:v>2 症状性未破裂AAA</x:v>
      </x:c>
      <x:c r="D52" s="53" t="str">
        <x:v>稳定症状性未破裂AAA</x:v>
      </x:c>
      <x:c r="E52" s="53" t="str">
        <x:v>stable symptomatic intact AAA</x:v>
      </x:c>
      <x:c r="F52" s="53" t="str">
        <x:v>急诊模式</x:v>
      </x:c>
      <x:c r="G52" s="53" t="str">
        <x:v>病种候选词（需上下文判定）</x:v>
      </x:c>
      <x:c r="H52" s="53" t="str">
        <x:v>症状被认为来自AAA AND 目前血流动力学稳定 AND 暂无证实破裂</x:v>
      </x:c>
      <x:c r="I52" s="53" t="str">
        <x:v>既往既发症状目前完全无关；‘排除症状性’</x:v>
      </x:c>
      <x:c r="J52" s="53" t="str">
        <x:v>不得仅凭此词判模式；先全局急诊/复杂覆盖</x:v>
      </x:c>
    </x:row>
    <x:row r="53" ht="41" customHeight="1">
      <x:c r="A53" s="53" t="str">
        <x:v>K049</x:v>
      </x:c>
      <x:c r="B53" s="53" t="str">
        <x:v>R016</x:v>
      </x:c>
      <x:c r="C53" s="53" t="str">
        <x:v>2 症状性未破裂AAA</x:v>
      </x:c>
      <x:c r="D53" s="53" t="str">
        <x:v>原因尚未明确的AAA伴疼痛</x:v>
      </x:c>
      <x:c r="E53" s="53" t="str">
        <x:v>AAA伴腹痛待查</x:v>
      </x:c>
      <x:c r="F53" s="53" t="str">
        <x:v>急诊模式</x:v>
      </x:c>
      <x:c r="G53" s="53" t="str">
        <x:v>病种候选词（需上下文判定）</x:v>
      </x:c>
      <x:c r="H53" s="53" t="str">
        <x:v>当前疼痛且AAA已存在，但尚未完成原因排查</x:v>
      </x:c>
      <x:c r="I53" s="53" t="str">
        <x:v>明确是慢性非动脉瘤病因</x:v>
      </x:c>
      <x:c r="J53" s="53" t="str">
        <x:v>不得仅凭此词判模式；先全局急诊/复杂覆盖</x:v>
      </x:c>
    </x:row>
    <x:row r="54" ht="41" customHeight="1">
      <x:c r="A54" s="53" t="str">
        <x:v>K050</x:v>
      </x:c>
      <x:c r="B54" s="53" t="str">
        <x:v>R016</x:v>
      </x:c>
      <x:c r="C54" s="53" t="str">
        <x:v>2 症状性未破裂AAA</x:v>
      </x:c>
      <x:c r="D54" s="53" t="str">
        <x:v>原因尚未明确的AAA伴疼痛</x:v>
      </x:c>
      <x:c r="E54" s="53" t="str">
        <x:v>AAA伴腰痛待查</x:v>
      </x:c>
      <x:c r="F54" s="53" t="str">
        <x:v>急诊模式</x:v>
      </x:c>
      <x:c r="G54" s="53" t="str">
        <x:v>病种候选词（需上下文判定）</x:v>
      </x:c>
      <x:c r="H54" s="53" t="str">
        <x:v>当前疼痛且AAA已存在，但尚未完成原因排查</x:v>
      </x:c>
      <x:c r="I54" s="53" t="str">
        <x:v>明确是慢性非动脉瘤病因</x:v>
      </x:c>
      <x:c r="J54" s="53" t="str">
        <x:v>不得仅凭此词判模式；先全局急诊/复杂覆盖</x:v>
      </x:c>
    </x:row>
    <x:row r="55" ht="41" customHeight="1">
      <x:c r="A55" s="53" t="str">
        <x:v>K051</x:v>
      </x:c>
      <x:c r="B55" s="53" t="str">
        <x:v>R016</x:v>
      </x:c>
      <x:c r="C55" s="53" t="str">
        <x:v>2 症状性未破裂AAA</x:v>
      </x:c>
      <x:c r="D55" s="53" t="str">
        <x:v>原因尚未明确的AAA伴疼痛</x:v>
      </x:c>
      <x:c r="E55" s="53" t="str">
        <x:v>AAA with unexplained pain</x:v>
      </x:c>
      <x:c r="F55" s="53" t="str">
        <x:v>急诊模式</x:v>
      </x:c>
      <x:c r="G55" s="53" t="str">
        <x:v>病种候选词（需上下文判定）</x:v>
      </x:c>
      <x:c r="H55" s="53" t="str">
        <x:v>当前疼痛且AAA已存在，但尚未完成原因排查</x:v>
      </x:c>
      <x:c r="I55" s="53" t="str">
        <x:v>明确是慢性非动脉瘤病因</x:v>
      </x:c>
      <x:c r="J55" s="53" t="str">
        <x:v>不得仅凭此词判模式；先全局急诊/复杂覆盖</x:v>
      </x:c>
    </x:row>
    <x:row r="56" ht="41" customHeight="1">
      <x:c r="A56" s="53" t="str">
        <x:v>K052</x:v>
      </x:c>
      <x:c r="B56" s="53" t="str">
        <x:v>R017</x:v>
      </x:c>
      <x:c r="C56" s="53" t="str">
        <x:v>3 破裂或疑似破裂</x:v>
      </x:c>
      <x:c r="D56" s="53" t="str">
        <x:v>影像确诊破裂AAA</x:v>
      </x:c>
      <x:c r="E56" s="53" t="str">
        <x:v>破裂性腹主动脉瘤</x:v>
      </x:c>
      <x:c r="F56" s="53" t="str">
        <x:v>急诊模式</x:v>
      </x:c>
      <x:c r="G56" s="53" t="str">
        <x:v>病种候选词（需上下文判定）</x:v>
      </x:c>
      <x:c r="H56" s="53" t="str">
        <x:v>当前影像或临床确认为破裂</x:v>
      </x:c>
      <x:c r="I56" s="53" t="str">
        <x:v>‘未破裂’‘排除破裂’‘无破裂征象’或既往已修复的历史描述</x:v>
      </x:c>
      <x:c r="J56" s="53" t="str">
        <x:v>不得仅凭此词判模式；先全局急诊/复杂覆盖</x:v>
      </x:c>
    </x:row>
    <x:row r="57" ht="41" customHeight="1">
      <x:c r="A57" s="53" t="str">
        <x:v>K053</x:v>
      </x:c>
      <x:c r="B57" s="53" t="str">
        <x:v>R017</x:v>
      </x:c>
      <x:c r="C57" s="53" t="str">
        <x:v>3 破裂或疑似破裂</x:v>
      </x:c>
      <x:c r="D57" s="53" t="str">
        <x:v>影像确诊破裂AAA</x:v>
      </x:c>
      <x:c r="E57" s="53" t="str">
        <x:v>rAAA</x:v>
      </x:c>
      <x:c r="F57" s="53" t="str">
        <x:v>急诊模式</x:v>
      </x:c>
      <x:c r="G57" s="53" t="str">
        <x:v>病种候选词（需上下文判定）</x:v>
      </x:c>
      <x:c r="H57" s="53" t="str">
        <x:v>当前影像或临床确认为破裂</x:v>
      </x:c>
      <x:c r="I57" s="53" t="str">
        <x:v>‘未破裂’‘排除破裂’‘无破裂征象’或既往已修复的历史描述</x:v>
      </x:c>
      <x:c r="J57" s="53" t="str">
        <x:v>不得仅凭此词判模式；先全局急诊/复杂覆盖</x:v>
      </x:c>
    </x:row>
    <x:row r="58" ht="41" customHeight="1">
      <x:c r="A58" s="53" t="str">
        <x:v>K054</x:v>
      </x:c>
      <x:c r="B58" s="53" t="str">
        <x:v>R017</x:v>
      </x:c>
      <x:c r="C58" s="53" t="str">
        <x:v>3 破裂或疑似破裂</x:v>
      </x:c>
      <x:c r="D58" s="53" t="str">
        <x:v>影像确诊破裂AAA</x:v>
      </x:c>
      <x:c r="E58" s="53" t="str">
        <x:v>ruptured AAA</x:v>
      </x:c>
      <x:c r="F58" s="53" t="str">
        <x:v>急诊模式</x:v>
      </x:c>
      <x:c r="G58" s="53" t="str">
        <x:v>病种候选词（需上下文判定）</x:v>
      </x:c>
      <x:c r="H58" s="53" t="str">
        <x:v>当前影像或临床确认为破裂</x:v>
      </x:c>
      <x:c r="I58" s="53" t="str">
        <x:v>‘未破裂’‘排除破裂’‘无破裂征象’或既往已修复的历史描述</x:v>
      </x:c>
      <x:c r="J58" s="53" t="str">
        <x:v>不得仅凭此词判模式；先全局急诊/复杂覆盖</x:v>
      </x:c>
    </x:row>
    <x:row r="59" ht="41" customHeight="1">
      <x:c r="A59" s="53" t="str">
        <x:v>K055</x:v>
      </x:c>
      <x:c r="B59" s="53" t="str">
        <x:v>R017</x:v>
      </x:c>
      <x:c r="C59" s="53" t="str">
        <x:v>3 破裂或疑似破裂</x:v>
      </x:c>
      <x:c r="D59" s="53" t="str">
        <x:v>影像确诊破裂AAA</x:v>
      </x:c>
      <x:c r="E59" s="53" t="str">
        <x:v>主动脉瘤破裂</x:v>
      </x:c>
      <x:c r="F59" s="53" t="str">
        <x:v>急诊模式</x:v>
      </x:c>
      <x:c r="G59" s="53" t="str">
        <x:v>病种候选词（需上下文判定）</x:v>
      </x:c>
      <x:c r="H59" s="53" t="str">
        <x:v>当前影像或临床确认为破裂</x:v>
      </x:c>
      <x:c r="I59" s="53" t="str">
        <x:v>‘未破裂’‘排除破裂’‘无破裂征象’或既往已修复的历史描述</x:v>
      </x:c>
      <x:c r="J59" s="53" t="str">
        <x:v>不得仅凭此词判模式；先全局急诊/复杂覆盖</x:v>
      </x:c>
    </x:row>
    <x:row r="60" ht="41" customHeight="1">
      <x:c r="A60" s="53" t="str">
        <x:v>K056</x:v>
      </x:c>
      <x:c r="B60" s="53" t="str">
        <x:v>R018</x:v>
      </x:c>
      <x:c r="C60" s="53" t="str">
        <x:v>3 破裂或疑似破裂</x:v>
      </x:c>
      <x:c r="D60" s="53" t="str">
        <x:v>疑似破裂AAA</x:v>
      </x:c>
      <x:c r="E60" s="53" t="str">
        <x:v>疑似破裂</x:v>
      </x:c>
      <x:c r="F60" s="53" t="str">
        <x:v>急诊模式</x:v>
      </x:c>
      <x:c r="G60" s="53" t="str">
        <x:v>病种候选词（需上下文判定）</x:v>
      </x:c>
      <x:c r="H60" s="53" t="str">
        <x:v>急性症状/影像红旗，临床不能排除破裂</x:v>
      </x:c>
      <x:c r="I60" s="53" t="str">
        <x:v>常规超声随访且明确无急性异常</x:v>
      </x:c>
      <x:c r="J60" s="53" t="str">
        <x:v>不得仅凭此词判模式；先全局急诊/复杂覆盖</x:v>
      </x:c>
    </x:row>
    <x:row r="61" ht="41" customHeight="1">
      <x:c r="A61" s="53" t="str">
        <x:v>K057</x:v>
      </x:c>
      <x:c r="B61" s="53" t="str">
        <x:v>R018</x:v>
      </x:c>
      <x:c r="C61" s="53" t="str">
        <x:v>3 破裂或疑似破裂</x:v>
      </x:c>
      <x:c r="D61" s="53" t="str">
        <x:v>疑似破裂AAA</x:v>
      </x:c>
      <x:c r="E61" s="53" t="str">
        <x:v>高度怀疑破裂</x:v>
      </x:c>
      <x:c r="F61" s="53" t="str">
        <x:v>急诊模式</x:v>
      </x:c>
      <x:c r="G61" s="53" t="str">
        <x:v>病种候选词（需上下文判定）</x:v>
      </x:c>
      <x:c r="H61" s="53" t="str">
        <x:v>急性症状/影像红旗，临床不能排除破裂</x:v>
      </x:c>
      <x:c r="I61" s="53" t="str">
        <x:v>常规超声随访且明确无急性异常</x:v>
      </x:c>
      <x:c r="J61" s="53" t="str">
        <x:v>不得仅凭此词判模式；先全局急诊/复杂覆盖</x:v>
      </x:c>
    </x:row>
    <x:row r="62" ht="41" customHeight="1">
      <x:c r="A62" s="53" t="str">
        <x:v>K058</x:v>
      </x:c>
      <x:c r="B62" s="53" t="str">
        <x:v>R018</x:v>
      </x:c>
      <x:c r="C62" s="53" t="str">
        <x:v>3 破裂或疑似破裂</x:v>
      </x:c>
      <x:c r="D62" s="53" t="str">
        <x:v>疑似破裂AAA</x:v>
      </x:c>
      <x:c r="E62" s="53" t="str">
        <x:v>suspected AAA rupture</x:v>
      </x:c>
      <x:c r="F62" s="53" t="str">
        <x:v>急诊模式</x:v>
      </x:c>
      <x:c r="G62" s="53" t="str">
        <x:v>病种候选词（需上下文判定）</x:v>
      </x:c>
      <x:c r="H62" s="53" t="str">
        <x:v>急性症状/影像红旗，临床不能排除破裂</x:v>
      </x:c>
      <x:c r="I62" s="53" t="str">
        <x:v>常规超声随访且明确无急性异常</x:v>
      </x:c>
      <x:c r="J62" s="53" t="str">
        <x:v>不得仅凭此词判模式；先全局急诊/复杂覆盖</x:v>
      </x:c>
    </x:row>
    <x:row r="63" ht="41" customHeight="1">
      <x:c r="A63" s="53" t="str">
        <x:v>K059</x:v>
      </x:c>
      <x:c r="B63" s="53" t="str">
        <x:v>R018</x:v>
      </x:c>
      <x:c r="C63" s="53" t="str">
        <x:v>3 破裂或疑似破裂</x:v>
      </x:c>
      <x:c r="D63" s="53" t="str">
        <x:v>疑似破裂AAA</x:v>
      </x:c>
      <x:c r="E63" s="53" t="str">
        <x:v>破裂待排</x:v>
      </x:c>
      <x:c r="F63" s="53" t="str">
        <x:v>急诊模式</x:v>
      </x:c>
      <x:c r="G63" s="53" t="str">
        <x:v>病种候选词（需上下文判定）</x:v>
      </x:c>
      <x:c r="H63" s="53" t="str">
        <x:v>急性症状/影像红旗，临床不能排除破裂</x:v>
      </x:c>
      <x:c r="I63" s="53" t="str">
        <x:v>常规超声随访且明确无急性异常</x:v>
      </x:c>
      <x:c r="J63" s="53" t="str">
        <x:v>不得仅凭此词判模式；先全局急诊/复杂覆盖</x:v>
      </x:c>
    </x:row>
    <x:row r="64" ht="41" customHeight="1">
      <x:c r="A64" s="53" t="str">
        <x:v>K060</x:v>
      </x:c>
      <x:c r="B64" s="53" t="str">
        <x:v>R019</x:v>
      </x:c>
      <x:c r="C64" s="53" t="str">
        <x:v>3 破裂或疑似破裂</x:v>
      </x:c>
      <x:c r="D64" s="53" t="str">
        <x:v>自由破裂</x:v>
      </x:c>
      <x:c r="E64" s="53" t="str">
        <x:v>自由破裂</x:v>
      </x:c>
      <x:c r="F64" s="53" t="str">
        <x:v>急诊模式</x:v>
      </x:c>
      <x:c r="G64" s="53" t="str">
        <x:v>病种候选词（需上下文判定）</x:v>
      </x:c>
      <x:c r="H64" s="53" t="str">
        <x:v>诊断提示动脉瘤破裂且出血不受限制</x:v>
      </x:c>
      <x:c r="I64" s="53" t="str">
        <x:v>报告否认游离破裂</x:v>
      </x:c>
      <x:c r="J64" s="53" t="str">
        <x:v>不得仅凭此词判模式；先全局急诊/复杂覆盖</x:v>
      </x:c>
    </x:row>
    <x:row r="65" ht="41" customHeight="1">
      <x:c r="A65" s="53" t="str">
        <x:v>K061</x:v>
      </x:c>
      <x:c r="B65" s="53" t="str">
        <x:v>R019</x:v>
      </x:c>
      <x:c r="C65" s="53" t="str">
        <x:v>3 破裂或疑似破裂</x:v>
      </x:c>
      <x:c r="D65" s="53" t="str">
        <x:v>自由破裂</x:v>
      </x:c>
      <x:c r="E65" s="53" t="str">
        <x:v>游离破裂</x:v>
      </x:c>
      <x:c r="F65" s="53" t="str">
        <x:v>急诊模式</x:v>
      </x:c>
      <x:c r="G65" s="53" t="str">
        <x:v>病种候选词（需上下文判定）</x:v>
      </x:c>
      <x:c r="H65" s="53" t="str">
        <x:v>诊断提示动脉瘤破裂且出血不受限制</x:v>
      </x:c>
      <x:c r="I65" s="53" t="str">
        <x:v>报告否认游离破裂</x:v>
      </x:c>
      <x:c r="J65" s="53" t="str">
        <x:v>不得仅凭此词判模式；先全局急诊/复杂覆盖</x:v>
      </x:c>
    </x:row>
    <x:row r="66" ht="41" customHeight="1">
      <x:c r="A66" s="53" t="str">
        <x:v>K062</x:v>
      </x:c>
      <x:c r="B66" s="53" t="str">
        <x:v>R019</x:v>
      </x:c>
      <x:c r="C66" s="53" t="str">
        <x:v>3 破裂或疑似破裂</x:v>
      </x:c>
      <x:c r="D66" s="53" t="str">
        <x:v>自由破裂</x:v>
      </x:c>
      <x:c r="E66" s="53" t="str">
        <x:v>free rupture</x:v>
      </x:c>
      <x:c r="F66" s="53" t="str">
        <x:v>急诊模式</x:v>
      </x:c>
      <x:c r="G66" s="53" t="str">
        <x:v>病种候选词（需上下文判定）</x:v>
      </x:c>
      <x:c r="H66" s="53" t="str">
        <x:v>诊断提示动脉瘤破裂且出血不受限制</x:v>
      </x:c>
      <x:c r="I66" s="53" t="str">
        <x:v>报告否认游离破裂</x:v>
      </x:c>
      <x:c r="J66" s="53" t="str">
        <x:v>不得仅凭此词判模式；先全局急诊/复杂覆盖</x:v>
      </x:c>
    </x:row>
    <x:row r="67" ht="41" customHeight="1">
      <x:c r="A67" s="53" t="str">
        <x:v>K063</x:v>
      </x:c>
      <x:c r="B67" s="53" t="str">
        <x:v>R019</x:v>
      </x:c>
      <x:c r="C67" s="53" t="str">
        <x:v>3 破裂或疑似破裂</x:v>
      </x:c>
      <x:c r="D67" s="53" t="str">
        <x:v>自由破裂</x:v>
      </x:c>
      <x:c r="E67" s="53" t="str">
        <x:v>intraperitoneal rupture</x:v>
      </x:c>
      <x:c r="F67" s="53" t="str">
        <x:v>急诊模式</x:v>
      </x:c>
      <x:c r="G67" s="53" t="str">
        <x:v>病种候选词（需上下文判定）</x:v>
      </x:c>
      <x:c r="H67" s="53" t="str">
        <x:v>诊断提示动脉瘤破裂且出血不受限制</x:v>
      </x:c>
      <x:c r="I67" s="53" t="str">
        <x:v>报告否认游离破裂</x:v>
      </x:c>
      <x:c r="J67" s="53" t="str">
        <x:v>不得仅凭此词判模式；先全局急诊/复杂覆盖</x:v>
      </x:c>
    </x:row>
    <x:row r="68" ht="41" customHeight="1">
      <x:c r="A68" s="53" t="str">
        <x:v>K064</x:v>
      </x:c>
      <x:c r="B68" s="53" t="str">
        <x:v>R020</x:v>
      </x:c>
      <x:c r="C68" s="53" t="str">
        <x:v>3 破裂或疑似破裂</x:v>
      </x:c>
      <x:c r="D68" s="53" t="str">
        <x:v>包裹性/局限性破裂</x:v>
      </x:c>
      <x:c r="E68" s="53" t="str">
        <x:v>包裹性破裂</x:v>
      </x:c>
      <x:c r="F68" s="53" t="str">
        <x:v>急诊模式</x:v>
      </x:c>
      <x:c r="G68" s="53" t="str">
        <x:v>病种候选词（需上下文判定）</x:v>
      </x:c>
      <x:c r="H68" s="53" t="str">
        <x:v>临床/影像明确相应破裂形态</x:v>
      </x:c>
      <x:c r="I68" s="53" t="str">
        <x:v>描述是未破裂瘤腔内血栓</x:v>
      </x:c>
      <x:c r="J68" s="53" t="str">
        <x:v>不得仅凭此词判模式；先全局急诊/复杂覆盖</x:v>
      </x:c>
    </x:row>
    <x:row r="69" ht="41" customHeight="1">
      <x:c r="A69" s="53" t="str">
        <x:v>K065</x:v>
      </x:c>
      <x:c r="B69" s="53" t="str">
        <x:v>R020</x:v>
      </x:c>
      <x:c r="C69" s="53" t="str">
        <x:v>3 破裂或疑似破裂</x:v>
      </x:c>
      <x:c r="D69" s="53" t="str">
        <x:v>包裹性/局限性破裂</x:v>
      </x:c>
      <x:c r="E69" s="53" t="str">
        <x:v>局限性破裂</x:v>
      </x:c>
      <x:c r="F69" s="53" t="str">
        <x:v>急诊模式</x:v>
      </x:c>
      <x:c r="G69" s="53" t="str">
        <x:v>病种候选词（需上下文判定）</x:v>
      </x:c>
      <x:c r="H69" s="53" t="str">
        <x:v>临床/影像明确相应破裂形态</x:v>
      </x:c>
      <x:c r="I69" s="53" t="str">
        <x:v>描述是未破裂瘤腔内血栓</x:v>
      </x:c>
      <x:c r="J69" s="53" t="str">
        <x:v>不得仅凭此词判模式；先全局急诊/复杂覆盖</x:v>
      </x:c>
    </x:row>
    <x:row r="70" ht="41" customHeight="1">
      <x:c r="A70" s="53" t="str">
        <x:v>K066</x:v>
      </x:c>
      <x:c r="B70" s="53" t="str">
        <x:v>R020</x:v>
      </x:c>
      <x:c r="C70" s="53" t="str">
        <x:v>3 破裂或疑似破裂</x:v>
      </x:c>
      <x:c r="D70" s="53" t="str">
        <x:v>包裹性/局限性破裂</x:v>
      </x:c>
      <x:c r="E70" s="53" t="str">
        <x:v>contained rupture</x:v>
      </x:c>
      <x:c r="F70" s="53" t="str">
        <x:v>急诊模式</x:v>
      </x:c>
      <x:c r="G70" s="53" t="str">
        <x:v>病种候选词（需上下文判定）</x:v>
      </x:c>
      <x:c r="H70" s="53" t="str">
        <x:v>临床/影像明确相应破裂形态</x:v>
      </x:c>
      <x:c r="I70" s="53" t="str">
        <x:v>描述是未破裂瘤腔内血栓</x:v>
      </x:c>
      <x:c r="J70" s="53" t="str">
        <x:v>不得仅凭此词判模式；先全局急诊/复杂覆盖</x:v>
      </x:c>
    </x:row>
    <x:row r="71" ht="41" customHeight="1">
      <x:c r="A71" s="53" t="str">
        <x:v>K067</x:v>
      </x:c>
      <x:c r="B71" s="53" t="str">
        <x:v>R020</x:v>
      </x:c>
      <x:c r="C71" s="53" t="str">
        <x:v>3 破裂或疑似破裂</x:v>
      </x:c>
      <x:c r="D71" s="53" t="str">
        <x:v>包裹性/局限性破裂</x:v>
      </x:c>
      <x:c r="E71" s="53" t="str">
        <x:v>sealed rupture</x:v>
      </x:c>
      <x:c r="F71" s="53" t="str">
        <x:v>急诊模式</x:v>
      </x:c>
      <x:c r="G71" s="53" t="str">
        <x:v>病种候选词（需上下文判定）</x:v>
      </x:c>
      <x:c r="H71" s="53" t="str">
        <x:v>临床/影像明确相应破裂形态</x:v>
      </x:c>
      <x:c r="I71" s="53" t="str">
        <x:v>描述是未破裂瘤腔内血栓</x:v>
      </x:c>
      <x:c r="J71" s="53" t="str">
        <x:v>不得仅凭此词判模式；先全局急诊/复杂覆盖</x:v>
      </x:c>
    </x:row>
    <x:row r="72" ht="41" customHeight="1">
      <x:c r="A72" s="53" t="str">
        <x:v>K068</x:v>
      </x:c>
      <x:c r="B72" s="53" t="str">
        <x:v>R021</x:v>
      </x:c>
      <x:c r="C72" s="53" t="str">
        <x:v>3 破裂或疑似破裂</x:v>
      </x:c>
      <x:c r="D72" s="53" t="str">
        <x:v>腹膜后血肿与AAA相关</x:v>
      </x:c>
      <x:c r="E72" s="53" t="str">
        <x:v>AAA伴腹膜后血肿</x:v>
      </x:c>
      <x:c r="F72" s="53" t="str">
        <x:v>急诊模式</x:v>
      </x:c>
      <x:c r="G72" s="53" t="str">
        <x:v>病种候选词（需上下文判定）</x:v>
      </x:c>
      <x:c r="H72" s="53" t="str">
        <x:v>AAA且血肿来源被认为来自主动脉</x:v>
      </x:c>
      <x:c r="I72" s="53" t="str">
        <x:v>术后正常少量渗出或其他明确血肿来源</x:v>
      </x:c>
      <x:c r="J72" s="53" t="str">
        <x:v>不得仅凭此词判模式；先全局急诊/复杂覆盖</x:v>
      </x:c>
    </x:row>
    <x:row r="73" ht="41" customHeight="1">
      <x:c r="A73" s="53" t="str">
        <x:v>K069</x:v>
      </x:c>
      <x:c r="B73" s="53" t="str">
        <x:v>R021</x:v>
      </x:c>
      <x:c r="C73" s="53" t="str">
        <x:v>3 破裂或疑似破裂</x:v>
      </x:c>
      <x:c r="D73" s="53" t="str">
        <x:v>腹膜后血肿与AAA相关</x:v>
      </x:c>
      <x:c r="E73" s="53" t="str">
        <x:v>retroperitoneal hematoma from AAA</x:v>
      </x:c>
      <x:c r="F73" s="53" t="str">
        <x:v>急诊模式</x:v>
      </x:c>
      <x:c r="G73" s="53" t="str">
        <x:v>病种候选词（需上下文判定）</x:v>
      </x:c>
      <x:c r="H73" s="53" t="str">
        <x:v>AAA且血肿来源被认为来自主动脉</x:v>
      </x:c>
      <x:c r="I73" s="53" t="str">
        <x:v>术后正常少量渗出或其他明确血肿来源</x:v>
      </x:c>
      <x:c r="J73" s="53" t="str">
        <x:v>不得仅凭此词判模式；先全局急诊/复杂覆盖</x:v>
      </x:c>
    </x:row>
    <x:row r="74" ht="41" customHeight="1">
      <x:c r="A74" s="53" t="str">
        <x:v>K070</x:v>
      </x:c>
      <x:c r="B74" s="53" t="str">
        <x:v>R021</x:v>
      </x:c>
      <x:c r="C74" s="53" t="str">
        <x:v>3 破裂或疑似破裂</x:v>
      </x:c>
      <x:c r="D74" s="53" t="str">
        <x:v>腹膜后血肿与AAA相关</x:v>
      </x:c>
      <x:c r="E74" s="53" t="str">
        <x:v>动脉瘤周围出血</x:v>
      </x:c>
      <x:c r="F74" s="53" t="str">
        <x:v>急诊模式</x:v>
      </x:c>
      <x:c r="G74" s="53" t="str">
        <x:v>病种候选词（需上下文判定）</x:v>
      </x:c>
      <x:c r="H74" s="53" t="str">
        <x:v>AAA且血肿来源被认为来自主动脉</x:v>
      </x:c>
      <x:c r="I74" s="53" t="str">
        <x:v>术后正常少量渗出或其他明确血肿来源</x:v>
      </x:c>
      <x:c r="J74" s="53" t="str">
        <x:v>不得仅凭此词判模式；先全局急诊/复杂覆盖</x:v>
      </x:c>
    </x:row>
    <x:row r="75" ht="41" customHeight="1">
      <x:c r="A75" s="53" t="str">
        <x:v>K071</x:v>
      </x:c>
      <x:c r="B75" s="53" t="str">
        <x:v>R022</x:v>
      </x:c>
      <x:c r="C75" s="53" t="str">
        <x:v>3 破裂或疑似破裂</x:v>
      </x:c>
      <x:c r="D75" s="53" t="str">
        <x:v>持续或活动性主动脉出血</x:v>
      </x:c>
      <x:c r="E75" s="53" t="str">
        <x:v>主动脉造影剂外渗</x:v>
      </x:c>
      <x:c r="F75" s="53" t="str">
        <x:v>急诊模式</x:v>
      </x:c>
      <x:c r="G75" s="53" t="str">
        <x:v>病种候选词（需上下文判定）</x:v>
      </x:c>
      <x:c r="H75" s="53" t="str">
        <x:v>影像指明来源主动脉或AAA</x:v>
      </x:c>
      <x:c r="I75" s="53" t="str">
        <x:v>其他部位造影剂外渗；否认活动性出血</x:v>
      </x:c>
      <x:c r="J75" s="53" t="str">
        <x:v>不得仅凭此词判模式；先全局急诊/复杂覆盖</x:v>
      </x:c>
    </x:row>
    <x:row r="76" ht="41" customHeight="1">
      <x:c r="A76" s="53" t="str">
        <x:v>K072</x:v>
      </x:c>
      <x:c r="B76" s="53" t="str">
        <x:v>R022</x:v>
      </x:c>
      <x:c r="C76" s="53" t="str">
        <x:v>3 破裂或疑似破裂</x:v>
      </x:c>
      <x:c r="D76" s="53" t="str">
        <x:v>持续或活动性主动脉出血</x:v>
      </x:c>
      <x:c r="E76" s="53" t="str">
        <x:v>active extravasation aorta</x:v>
      </x:c>
      <x:c r="F76" s="53" t="str">
        <x:v>急诊模式</x:v>
      </x:c>
      <x:c r="G76" s="53" t="str">
        <x:v>病种候选词（需上下文判定）</x:v>
      </x:c>
      <x:c r="H76" s="53" t="str">
        <x:v>影像指明来源主动脉或AAA</x:v>
      </x:c>
      <x:c r="I76" s="53" t="str">
        <x:v>其他部位造影剂外渗；否认活动性出血</x:v>
      </x:c>
      <x:c r="J76" s="53" t="str">
        <x:v>不得仅凭此词判模式；先全局急诊/复杂覆盖</x:v>
      </x:c>
    </x:row>
    <x:row r="77" ht="41" customHeight="1">
      <x:c r="A77" s="53" t="str">
        <x:v>K073</x:v>
      </x:c>
      <x:c r="B77" s="53" t="str">
        <x:v>R022</x:v>
      </x:c>
      <x:c r="C77" s="53" t="str">
        <x:v>3 破裂或疑似破裂</x:v>
      </x:c>
      <x:c r="D77" s="53" t="str">
        <x:v>持续或活动性主动脉出血</x:v>
      </x:c>
      <x:c r="E77" s="53" t="str">
        <x:v>主动脉活动性出血</x:v>
      </x:c>
      <x:c r="F77" s="53" t="str">
        <x:v>急诊模式</x:v>
      </x:c>
      <x:c r="G77" s="53" t="str">
        <x:v>病种候选词（需上下文判定）</x:v>
      </x:c>
      <x:c r="H77" s="53" t="str">
        <x:v>影像指明来源主动脉或AAA</x:v>
      </x:c>
      <x:c r="I77" s="53" t="str">
        <x:v>其他部位造影剂外渗；否认活动性出血</x:v>
      </x:c>
      <x:c r="J77" s="53" t="str">
        <x:v>不得仅凭此词判模式；先全局急诊/复杂覆盖</x:v>
      </x:c>
    </x:row>
    <x:row r="78" ht="41" customHeight="1">
      <x:c r="A78" s="53" t="str">
        <x:v>K074</x:v>
      </x:c>
      <x:c r="B78" s="53" t="str">
        <x:v>R023</x:v>
      </x:c>
      <x:c r="C78" s="53" t="str">
        <x:v>3 破裂或疑似破裂</x:v>
      </x:c>
      <x:c r="D78" s="53" t="str">
        <x:v>有破裂警示征象的AAA</x:v>
      </x:c>
      <x:c r="E78" s="53" t="str">
        <x:v>high attenuation crescent</x:v>
      </x:c>
      <x:c r="F78" s="53" t="str">
        <x:v>急诊模式</x:v>
      </x:c>
      <x:c r="G78" s="53" t="str">
        <x:v>病种候选词（需上下文判定）</x:v>
      </x:c>
      <x:c r="H78" s="53" t="str">
        <x:v>影像学危险征象明确 + 临床或影像综合判断高度疑似急性破裂风险</x:v>
      </x:c>
      <x:c r="I78" s="53" t="str">
        <x:v>单一非特异征象无临床支持</x:v>
      </x:c>
      <x:c r="J78" s="53" t="str">
        <x:v>不得仅凭此词判模式；先全局急诊/复杂覆盖</x:v>
      </x:c>
    </x:row>
    <x:row r="79" ht="41" customHeight="1">
      <x:c r="A79" s="53" t="str">
        <x:v>K075</x:v>
      </x:c>
      <x:c r="B79" s="53" t="str">
        <x:v>R023</x:v>
      </x:c>
      <x:c r="C79" s="53" t="str">
        <x:v>3 破裂或疑似破裂</x:v>
      </x:c>
      <x:c r="D79" s="53" t="str">
        <x:v>有破裂警示征象的AAA</x:v>
      </x:c>
      <x:c r="E79" s="53" t="str">
        <x:v>主动脉瘤破裂危险征</x:v>
      </x:c>
      <x:c r="F79" s="53" t="str">
        <x:v>急诊模式</x:v>
      </x:c>
      <x:c r="G79" s="53" t="str">
        <x:v>病种候选词（需上下文判定）</x:v>
      </x:c>
      <x:c r="H79" s="53" t="str">
        <x:v>影像学危险征象明确 + 临床或影像综合判断高度疑似急性破裂风险</x:v>
      </x:c>
      <x:c r="I79" s="53" t="str">
        <x:v>单一非特异征象无临床支持</x:v>
      </x:c>
      <x:c r="J79" s="53" t="str">
        <x:v>不得仅凭此词判模式；先全局急诊/复杂覆盖</x:v>
      </x:c>
    </x:row>
    <x:row r="80" ht="41" customHeight="1">
      <x:c r="A80" s="53" t="str">
        <x:v>K076</x:v>
      </x:c>
      <x:c r="B80" s="53" t="str">
        <x:v>R023</x:v>
      </x:c>
      <x:c r="C80" s="53" t="str">
        <x:v>3 破裂或疑似破裂</x:v>
      </x:c>
      <x:c r="D80" s="53" t="str">
        <x:v>有破裂警示征象的AAA</x:v>
      </x:c>
      <x:c r="E80" s="53" t="str">
        <x:v>瘤壁局部中断</x:v>
      </x:c>
      <x:c r="F80" s="53" t="str">
        <x:v>急诊模式</x:v>
      </x:c>
      <x:c r="G80" s="53" t="str">
        <x:v>病种候选词（需上下文判定）</x:v>
      </x:c>
      <x:c r="H80" s="53" t="str">
        <x:v>影像学危险征象明确 + 临床或影像综合判断高度疑似急性破裂风险</x:v>
      </x:c>
      <x:c r="I80" s="53" t="str">
        <x:v>单一非特异征象无临床支持</x:v>
      </x:c>
      <x:c r="J80" s="53" t="str">
        <x:v>不得仅凭此词判模式；先全局急诊/复杂覆盖</x:v>
      </x:c>
    </x:row>
    <x:row r="81" ht="41" customHeight="1">
      <x:c r="A81" s="53" t="str">
        <x:v>K077</x:v>
      </x:c>
      <x:c r="B81" s="53" t="str">
        <x:v>R024</x:v>
      </x:c>
      <x:c r="C81" s="53" t="str">
        <x:v>3 破裂或疑似破裂</x:v>
      </x:c>
      <x:c r="D81" s="53" t="str">
        <x:v>动脉瘤相关休克</x:v>
      </x:c>
      <x:c r="E81" s="53" t="str">
        <x:v>AAA伴休克</x:v>
      </x:c>
      <x:c r="F81" s="53" t="str">
        <x:v>急诊模式</x:v>
      </x:c>
      <x:c r="G81" s="53" t="str">
        <x:v>病种候选词（需上下文判定）</x:v>
      </x:c>
      <x:c r="H81" s="53" t="str">
        <x:v>AAA背景＋循环不稳定和疑似出血</x:v>
      </x:c>
      <x:c r="I81" s="53" t="str">
        <x:v>另有明确休克原因且已排除主动脉急症</x:v>
      </x:c>
      <x:c r="J81" s="53" t="str">
        <x:v>不得仅凭此词判模式；先全局急诊/复杂覆盖</x:v>
      </x:c>
    </x:row>
    <x:row r="82" ht="41" customHeight="1">
      <x:c r="A82" s="53" t="str">
        <x:v>K078</x:v>
      </x:c>
      <x:c r="B82" s="53" t="str">
        <x:v>R024</x:v>
      </x:c>
      <x:c r="C82" s="53" t="str">
        <x:v>3 破裂或疑似破裂</x:v>
      </x:c>
      <x:c r="D82" s="53" t="str">
        <x:v>动脉瘤相关休克</x:v>
      </x:c>
      <x:c r="E82" s="53" t="str">
        <x:v>shock with AAA</x:v>
      </x:c>
      <x:c r="F82" s="53" t="str">
        <x:v>急诊模式</x:v>
      </x:c>
      <x:c r="G82" s="53" t="str">
        <x:v>病种候选词（需上下文判定）</x:v>
      </x:c>
      <x:c r="H82" s="53" t="str">
        <x:v>AAA背景＋循环不稳定和疑似出血</x:v>
      </x:c>
      <x:c r="I82" s="53" t="str">
        <x:v>另有明确休克原因且已排除主动脉急症</x:v>
      </x:c>
      <x:c r="J82" s="53" t="str">
        <x:v>不得仅凭此词判模式；先全局急诊/复杂覆盖</x:v>
      </x:c>
    </x:row>
    <x:row r="83" ht="41" customHeight="1">
      <x:c r="A83" s="53" t="str">
        <x:v>K079</x:v>
      </x:c>
      <x:c r="B83" s="53" t="str">
        <x:v>R024</x:v>
      </x:c>
      <x:c r="C83" s="53" t="str">
        <x:v>3 破裂或疑似破裂</x:v>
      </x:c>
      <x:c r="D83" s="53" t="str">
        <x:v>动脉瘤相关休克</x:v>
      </x:c>
      <x:c r="E83" s="53" t="str">
        <x:v>低血压伴突发腹背痛</x:v>
      </x:c>
      <x:c r="F83" s="53" t="str">
        <x:v>急诊模式</x:v>
      </x:c>
      <x:c r="G83" s="53" t="str">
        <x:v>病种候选词（需上下文判定）</x:v>
      </x:c>
      <x:c r="H83" s="53" t="str">
        <x:v>AAA背景＋循环不稳定和疑似出血</x:v>
      </x:c>
      <x:c r="I83" s="53" t="str">
        <x:v>另有明确休克原因且已排除主动脉急症</x:v>
      </x:c>
      <x:c r="J83" s="53" t="str">
        <x:v>不得仅凭此词判模式；先全局急诊/复杂覆盖</x:v>
      </x:c>
    </x:row>
    <x:row r="84" ht="41" customHeight="1">
      <x:c r="A84" s="53" t="str">
        <x:v>K080</x:v>
      </x:c>
      <x:c r="B84" s="53" t="str">
        <x:v>R025</x:v>
      </x:c>
      <x:c r="C84" s="53" t="str">
        <x:v>3 破裂或疑似破裂</x:v>
      </x:c>
      <x:c r="D84" s="53" t="str">
        <x:v>破裂伴主动脉下腔静脉瘘</x:v>
      </x:c>
      <x:c r="E84" s="53" t="str">
        <x:v>破裂伴腔静脉瘘</x:v>
      </x:c>
      <x:c r="F84" s="53" t="str">
        <x:v>急诊模式</x:v>
      </x:c>
      <x:c r="G84" s="53" t="str">
        <x:v>病种候选词（需上下文判定）</x:v>
      </x:c>
      <x:c r="H84" s="53" t="str">
        <x:v>确有主动脉-下腔静脉瘘并疑似急性破裂/失代偿</x:v>
      </x:c>
      <x:c r="I84" s="53" t="str">
        <x:v>单纯静脉扩张无瘘证据</x:v>
      </x:c>
      <x:c r="J84" s="53" t="str">
        <x:v>不得仅凭此词判模式；先全局急诊/复杂覆盖</x:v>
      </x:c>
    </x:row>
    <x:row r="85" ht="41" customHeight="1">
      <x:c r="A85" s="53" t="str">
        <x:v>K081</x:v>
      </x:c>
      <x:c r="B85" s="53" t="str">
        <x:v>R025</x:v>
      </x:c>
      <x:c r="C85" s="53" t="str">
        <x:v>3 破裂或疑似破裂</x:v>
      </x:c>
      <x:c r="D85" s="53" t="str">
        <x:v>破裂伴主动脉下腔静脉瘘</x:v>
      </x:c>
      <x:c r="E85" s="53" t="str">
        <x:v>ruptured aortocaval fistula</x:v>
      </x:c>
      <x:c r="F85" s="53" t="str">
        <x:v>急诊模式</x:v>
      </x:c>
      <x:c r="G85" s="53" t="str">
        <x:v>病种候选词（需上下文判定）</x:v>
      </x:c>
      <x:c r="H85" s="53" t="str">
        <x:v>确有主动脉-下腔静脉瘘并疑似急性破裂/失代偿</x:v>
      </x:c>
      <x:c r="I85" s="53" t="str">
        <x:v>单纯静脉扩张无瘘证据</x:v>
      </x:c>
      <x:c r="J85" s="53" t="str">
        <x:v>不得仅凭此词判模式；先全局急诊/复杂覆盖</x:v>
      </x:c>
    </x:row>
    <x:row r="86" ht="41" customHeight="1">
      <x:c r="A86" s="53" t="str">
        <x:v>K082</x:v>
      </x:c>
      <x:c r="B86" s="53" t="str">
        <x:v>R026</x:v>
      </x:c>
      <x:c r="C86" s="53" t="str">
        <x:v>3 破裂或疑似破裂</x:v>
      </x:c>
      <x:c r="D86" s="53" t="str">
        <x:v>复杂AAA破裂</x:v>
      </x:c>
      <x:c r="E86" s="53" t="str">
        <x:v>破裂近肾AAA</x:v>
      </x:c>
      <x:c r="F86" s="53" t="str">
        <x:v>急诊模式</x:v>
      </x:c>
      <x:c r="G86" s="53" t="str">
        <x:v>病种候选词（需上下文判定）</x:v>
      </x:c>
      <x:c r="H86" s="53" t="str">
        <x:v>破裂 AND 近肾/旁肾/近内脏解剖</x:v>
      </x:c>
      <x:c r="I86" s="53" t="str">
        <x:v>未破裂复杂AAA</x:v>
      </x:c>
      <x:c r="J86" s="53" t="str">
        <x:v>不得仅凭此词判模式；先全局急诊/复杂覆盖</x:v>
      </x:c>
    </x:row>
    <x:row r="87" ht="41" customHeight="1">
      <x:c r="A87" s="53" t="str">
        <x:v>K083</x:v>
      </x:c>
      <x:c r="B87" s="53" t="str">
        <x:v>R026</x:v>
      </x:c>
      <x:c r="C87" s="53" t="str">
        <x:v>3 破裂或疑似破裂</x:v>
      </x:c>
      <x:c r="D87" s="53" t="str">
        <x:v>复杂AAA破裂</x:v>
      </x:c>
      <x:c r="E87" s="53" t="str">
        <x:v>ruptured complex AAA</x:v>
      </x:c>
      <x:c r="F87" s="53" t="str">
        <x:v>急诊模式</x:v>
      </x:c>
      <x:c r="G87" s="53" t="str">
        <x:v>病种候选词（需上下文判定）</x:v>
      </x:c>
      <x:c r="H87" s="53" t="str">
        <x:v>破裂 AND 近肾/旁肾/近内脏解剖</x:v>
      </x:c>
      <x:c r="I87" s="53" t="str">
        <x:v>未破裂复杂AAA</x:v>
      </x:c>
      <x:c r="J87" s="53" t="str">
        <x:v>不得仅凭此词判模式；先全局急诊/复杂覆盖</x:v>
      </x:c>
    </x:row>
    <x:row r="88" ht="41" customHeight="1">
      <x:c r="A88" s="53" t="str">
        <x:v>K084</x:v>
      </x:c>
      <x:c r="B88" s="53" t="str">
        <x:v>R026</x:v>
      </x:c>
      <x:c r="C88" s="53" t="str">
        <x:v>3 破裂或疑似破裂</x:v>
      </x:c>
      <x:c r="D88" s="53" t="str">
        <x:v>复杂AAA破裂</x:v>
      </x:c>
      <x:c r="E88" s="53" t="str">
        <x:v>ruptured juxtarenal AAA</x:v>
      </x:c>
      <x:c r="F88" s="53" t="str">
        <x:v>急诊模式</x:v>
      </x:c>
      <x:c r="G88" s="53" t="str">
        <x:v>病种候选词（需上下文判定）</x:v>
      </x:c>
      <x:c r="H88" s="53" t="str">
        <x:v>破裂 AND 近肾/旁肾/近内脏解剖</x:v>
      </x:c>
      <x:c r="I88" s="53" t="str">
        <x:v>未破裂复杂AAA</x:v>
      </x:c>
      <x:c r="J88" s="53" t="str">
        <x:v>不得仅凭此词判模式；先全局急诊/复杂覆盖</x:v>
      </x:c>
    </x:row>
    <x:row r="89" ht="41" customHeight="1">
      <x:c r="A89" s="53" t="str">
        <x:v>K085</x:v>
      </x:c>
      <x:c r="B89" s="53" t="str">
        <x:v>R027</x:v>
      </x:c>
      <x:c r="C89" s="53" t="str">
        <x:v>3 破裂或疑似破裂</x:v>
      </x:c>
      <x:c r="D89" s="53" t="str">
        <x:v>术后再次破裂</x:v>
      </x:c>
      <x:c r="E89" s="53" t="str">
        <x:v>EVAR术后破裂</x:v>
      </x:c>
      <x:c r="F89" s="53" t="str">
        <x:v>急诊模式</x:v>
      </x:c>
      <x:c r="G89" s="53" t="str">
        <x:v>病种候选词（需上下文判定）</x:v>
      </x:c>
      <x:c r="H89" s="53" t="str">
        <x:v>有既往修复史 AND 当前破裂</x:v>
      </x:c>
      <x:c r="I89" s="53" t="str">
        <x:v>仅既往术前破裂历史、目前无新破裂</x:v>
      </x:c>
      <x:c r="J89" s="53" t="str">
        <x:v>不得仅凭此词判模式；先全局急诊/复杂覆盖</x:v>
      </x:c>
    </x:row>
    <x:row r="90" ht="41" customHeight="1">
      <x:c r="A90" s="53" t="str">
        <x:v>K086</x:v>
      </x:c>
      <x:c r="B90" s="53" t="str">
        <x:v>R027</x:v>
      </x:c>
      <x:c r="C90" s="53" t="str">
        <x:v>3 破裂或疑似破裂</x:v>
      </x:c>
      <x:c r="D90" s="53" t="str">
        <x:v>术后再次破裂</x:v>
      </x:c>
      <x:c r="E90" s="53" t="str">
        <x:v>post-EVAR rupture</x:v>
      </x:c>
      <x:c r="F90" s="53" t="str">
        <x:v>急诊模式</x:v>
      </x:c>
      <x:c r="G90" s="53" t="str">
        <x:v>病种候选词（需上下文判定）</x:v>
      </x:c>
      <x:c r="H90" s="53" t="str">
        <x:v>有既往修复史 AND 当前破裂</x:v>
      </x:c>
      <x:c r="I90" s="53" t="str">
        <x:v>仅既往术前破裂历史、目前无新破裂</x:v>
      </x:c>
      <x:c r="J90" s="53" t="str">
        <x:v>不得仅凭此词判模式；先全局急诊/复杂覆盖</x:v>
      </x:c>
    </x:row>
    <x:row r="91" ht="41" customHeight="1">
      <x:c r="A91" s="53" t="str">
        <x:v>K087</x:v>
      </x:c>
      <x:c r="B91" s="53" t="str">
        <x:v>R027</x:v>
      </x:c>
      <x:c r="C91" s="53" t="str">
        <x:v>3 破裂或疑似破裂</x:v>
      </x:c>
      <x:c r="D91" s="53" t="str">
        <x:v>术后再次破裂</x:v>
      </x:c>
      <x:c r="E91" s="53" t="str">
        <x:v>术后主动脉瘤破裂</x:v>
      </x:c>
      <x:c r="F91" s="53" t="str">
        <x:v>急诊模式</x:v>
      </x:c>
      <x:c r="G91" s="53" t="str">
        <x:v>病种候选词（需上下文判定）</x:v>
      </x:c>
      <x:c r="H91" s="53" t="str">
        <x:v>有既往修复史 AND 当前破裂</x:v>
      </x:c>
      <x:c r="I91" s="53" t="str">
        <x:v>仅既往术前破裂历史、目前无新破裂</x:v>
      </x:c>
      <x:c r="J91" s="53" t="str">
        <x:v>不得仅凭此词判模式；先全局急诊/复杂覆盖</x:v>
      </x:c>
    </x:row>
    <x:row r="92" ht="41" customHeight="1">
      <x:c r="A92" s="53" t="str">
        <x:v>K088</x:v>
      </x:c>
      <x:c r="B92" s="53" t="str">
        <x:v>R028</x:v>
      </x:c>
      <x:c r="C92" s="53" t="str">
        <x:v>3 破裂或疑似破裂</x:v>
      </x:c>
      <x:c r="D92" s="53" t="str">
        <x:v>破裂性髂动脉瘤</x:v>
      </x:c>
      <x:c r="E92" s="53" t="str">
        <x:v>破裂性髂动脉瘤</x:v>
      </x:c>
      <x:c r="F92" s="53" t="str">
        <x:v>急诊模式</x:v>
      </x:c>
      <x:c r="G92" s="53" t="str">
        <x:v>病种候选词（需上下文判定）</x:v>
      </x:c>
      <x:c r="H92" s="53" t="str">
        <x:v>髂动脉瘤当前破裂/疑似破裂</x:v>
      </x:c>
      <x:c r="I92" s="53" t="str">
        <x:v>仅陈旧病史</x:v>
      </x:c>
      <x:c r="J92" s="53" t="str">
        <x:v>不得仅凭此词判模式；先全局急诊/复杂覆盖</x:v>
      </x:c>
    </x:row>
    <x:row r="93" ht="41" customHeight="1">
      <x:c r="A93" s="53" t="str">
        <x:v>K089</x:v>
      </x:c>
      <x:c r="B93" s="53" t="str">
        <x:v>R028</x:v>
      </x:c>
      <x:c r="C93" s="53" t="str">
        <x:v>3 破裂或疑似破裂</x:v>
      </x:c>
      <x:c r="D93" s="53" t="str">
        <x:v>破裂性髂动脉瘤</x:v>
      </x:c>
      <x:c r="E93" s="53" t="str">
        <x:v>ruptured iliac aneurysm</x:v>
      </x:c>
      <x:c r="F93" s="53" t="str">
        <x:v>急诊模式</x:v>
      </x:c>
      <x:c r="G93" s="53" t="str">
        <x:v>病种候选词（需上下文判定）</x:v>
      </x:c>
      <x:c r="H93" s="53" t="str">
        <x:v>髂动脉瘤当前破裂/疑似破裂</x:v>
      </x:c>
      <x:c r="I93" s="53" t="str">
        <x:v>仅陈旧病史</x:v>
      </x:c>
      <x:c r="J93" s="53" t="str">
        <x:v>不得仅凭此词判模式；先全局急诊/复杂覆盖</x:v>
      </x:c>
    </x:row>
    <x:row r="94" ht="41" customHeight="1">
      <x:c r="A94" s="53" t="str">
        <x:v>K090</x:v>
      </x:c>
      <x:c r="B94" s="53" t="str">
        <x:v>R028</x:v>
      </x:c>
      <x:c r="C94" s="53" t="str">
        <x:v>3 破裂或疑似破裂</x:v>
      </x:c>
      <x:c r="D94" s="53" t="str">
        <x:v>破裂性髂动脉瘤</x:v>
      </x:c>
      <x:c r="E94" s="53" t="str">
        <x:v>髂瘤破裂</x:v>
      </x:c>
      <x:c r="F94" s="53" t="str">
        <x:v>急诊模式</x:v>
      </x:c>
      <x:c r="G94" s="53" t="str">
        <x:v>病种候选词（需上下文判定）</x:v>
      </x:c>
      <x:c r="H94" s="53" t="str">
        <x:v>髂动脉瘤当前破裂/疑似破裂</x:v>
      </x:c>
      <x:c r="I94" s="53" t="str">
        <x:v>仅陈旧病史</x:v>
      </x:c>
      <x:c r="J94" s="53" t="str">
        <x:v>不得仅凭此词判模式；先全局急诊/复杂覆盖</x:v>
      </x:c>
    </x:row>
    <x:row r="95" ht="41" customHeight="1">
      <x:c r="A95" s="53" t="str">
        <x:v>K091</x:v>
      </x:c>
      <x:c r="B95" s="53" t="str">
        <x:v>R029</x:v>
      </x:c>
      <x:c r="C95" s="53" t="str">
        <x:v>4 感染性腹主动脉病</x:v>
      </x:c>
      <x:c r="D95" s="53" t="str">
        <x:v>原生主动脉感染性动脉瘤</x:v>
      </x:c>
      <x:c r="E95" s="53" t="str">
        <x:v>感染性腹主动脉瘤</x:v>
      </x:c>
      <x:c r="F95" s="53" t="str">
        <x:v>复杂模式</x:v>
      </x:c>
      <x:c r="G95" s="53" t="str">
        <x:v>病种候选词（需上下文判定）</x:v>
      </x:c>
      <x:c r="H95" s="53" t="str">
        <x:v>尚未置入移植物或当前确认原生主动脉病变；感染证据+影像/临床支持</x:v>
      </x:c>
      <x:c r="I95" s="53" t="str">
        <x:v>仅发热或仅菌血症；仅术后感染无需混称原生瘤</x:v>
      </x:c>
      <x:c r="J95" s="53" t="str">
        <x:v>不得仅凭此词判模式；先全局急诊/复杂覆盖</x:v>
      </x:c>
    </x:row>
    <x:row r="96" ht="41" customHeight="1">
      <x:c r="A96" s="53" t="str">
        <x:v>K092</x:v>
      </x:c>
      <x:c r="B96" s="53" t="str">
        <x:v>R029</x:v>
      </x:c>
      <x:c r="C96" s="53" t="str">
        <x:v>4 感染性腹主动脉病</x:v>
      </x:c>
      <x:c r="D96" s="53" t="str">
        <x:v>原生主动脉感染性动脉瘤</x:v>
      </x:c>
      <x:c r="E96" s="53" t="str">
        <x:v>mycotic abdominal aortic aneurysm</x:v>
      </x:c>
      <x:c r="F96" s="53" t="str">
        <x:v>复杂模式</x:v>
      </x:c>
      <x:c r="G96" s="53" t="str">
        <x:v>病种候选词（需上下文判定）</x:v>
      </x:c>
      <x:c r="H96" s="53" t="str">
        <x:v>尚未置入移植物或当前确认原生主动脉病变；感染证据+影像/临床支持</x:v>
      </x:c>
      <x:c r="I96" s="53" t="str">
        <x:v>仅发热或仅菌血症；仅术后感染无需混称原生瘤</x:v>
      </x:c>
      <x:c r="J96" s="53" t="str">
        <x:v>不得仅凭此词判模式；先全局急诊/复杂覆盖</x:v>
      </x:c>
    </x:row>
    <x:row r="97" ht="41" customHeight="1">
      <x:c r="A97" s="53" t="str">
        <x:v>K093</x:v>
      </x:c>
      <x:c r="B97" s="53" t="str">
        <x:v>R029</x:v>
      </x:c>
      <x:c r="C97" s="53" t="str">
        <x:v>4 感染性腹主动脉病</x:v>
      </x:c>
      <x:c r="D97" s="53" t="str">
        <x:v>原生主动脉感染性动脉瘤</x:v>
      </x:c>
      <x:c r="E97" s="53" t="str">
        <x:v>infected native AAA</x:v>
      </x:c>
      <x:c r="F97" s="53" t="str">
        <x:v>复杂模式</x:v>
      </x:c>
      <x:c r="G97" s="53" t="str">
        <x:v>病种候选词（需上下文判定）</x:v>
      </x:c>
      <x:c r="H97" s="53" t="str">
        <x:v>尚未置入移植物或当前确认原生主动脉病变；感染证据+影像/临床支持</x:v>
      </x:c>
      <x:c r="I97" s="53" t="str">
        <x:v>仅发热或仅菌血症；仅术后感染无需混称原生瘤</x:v>
      </x:c>
      <x:c r="J97" s="53" t="str">
        <x:v>不得仅凭此词判模式；先全局急诊/复杂覆盖</x:v>
      </x:c>
    </x:row>
    <x:row r="98" ht="41" customHeight="1">
      <x:c r="A98" s="53" t="str">
        <x:v>K094</x:v>
      </x:c>
      <x:c r="B98" s="53" t="str">
        <x:v>R030</x:v>
      </x:c>
      <x:c r="C98" s="53" t="str">
        <x:v>4 感染性腹主动脉病</x:v>
      </x:c>
      <x:c r="D98" s="53" t="str">
        <x:v>感染性腹主动脉假性动脉瘤</x:v>
      </x:c>
      <x:c r="E98" s="53" t="str">
        <x:v>感染性假性动脉瘤</x:v>
      </x:c>
      <x:c r="F98" s="53" t="str">
        <x:v>复杂模式</x:v>
      </x:c>
      <x:c r="G98" s="53" t="str">
        <x:v>病种候选词（需上下文判定）</x:v>
      </x:c>
      <x:c r="H98" s="53" t="str">
        <x:v>主动脉假性瘤证据 AND 感染证据</x:v>
      </x:c>
      <x:c r="I98" s="53" t="str">
        <x:v>普通非感染性假性瘤</x:v>
      </x:c>
      <x:c r="J98" s="53" t="str">
        <x:v>不得仅凭此词判模式；先全局急诊/复杂覆盖</x:v>
      </x:c>
    </x:row>
    <x:row r="99" ht="41" customHeight="1">
      <x:c r="A99" s="53" t="str">
        <x:v>K095</x:v>
      </x:c>
      <x:c r="B99" s="53" t="str">
        <x:v>R030</x:v>
      </x:c>
      <x:c r="C99" s="53" t="str">
        <x:v>4 感染性腹主动脉病</x:v>
      </x:c>
      <x:c r="D99" s="53" t="str">
        <x:v>感染性腹主动脉假性动脉瘤</x:v>
      </x:c>
      <x:c r="E99" s="53" t="str">
        <x:v>mycotic pseudoaneurysm</x:v>
      </x:c>
      <x:c r="F99" s="53" t="str">
        <x:v>复杂模式</x:v>
      </x:c>
      <x:c r="G99" s="53" t="str">
        <x:v>病种候选词（需上下文判定）</x:v>
      </x:c>
      <x:c r="H99" s="53" t="str">
        <x:v>主动脉假性瘤证据 AND 感染证据</x:v>
      </x:c>
      <x:c r="I99" s="53" t="str">
        <x:v>普通非感染性假性瘤</x:v>
      </x:c>
      <x:c r="J99" s="53" t="str">
        <x:v>不得仅凭此词判模式；先全局急诊/复杂覆盖</x:v>
      </x:c>
    </x:row>
    <x:row r="100" ht="41" customHeight="1">
      <x:c r="A100" s="53" t="str">
        <x:v>K096</x:v>
      </x:c>
      <x:c r="B100" s="53" t="str">
        <x:v>R030</x:v>
      </x:c>
      <x:c r="C100" s="53" t="str">
        <x:v>4 感染性腹主动脉病</x:v>
      </x:c>
      <x:c r="D100" s="53" t="str">
        <x:v>感染性腹主动脉假性动脉瘤</x:v>
      </x:c>
      <x:c r="E100" s="53" t="str">
        <x:v>infected aortic pseudoaneurysm</x:v>
      </x:c>
      <x:c r="F100" s="53" t="str">
        <x:v>复杂模式</x:v>
      </x:c>
      <x:c r="G100" s="53" t="str">
        <x:v>病种候选词（需上下文判定）</x:v>
      </x:c>
      <x:c r="H100" s="53" t="str">
        <x:v>主动脉假性瘤证据 AND 感染证据</x:v>
      </x:c>
      <x:c r="I100" s="53" t="str">
        <x:v>普通非感染性假性瘤</x:v>
      </x:c>
      <x:c r="J100" s="53" t="str">
        <x:v>不得仅凭此词判模式；先全局急诊/复杂覆盖</x:v>
      </x:c>
    </x:row>
    <x:row r="101" ht="41" customHeight="1">
      <x:c r="A101" s="53" t="str">
        <x:v>K097</x:v>
      </x:c>
      <x:c r="B101" s="53" t="str">
        <x:v>R031</x:v>
      </x:c>
      <x:c r="C101" s="53" t="str">
        <x:v>4 感染性腹主动脉病</x:v>
      </x:c>
      <x:c r="D101" s="53" t="str">
        <x:v>感染性主动脉炎</x:v>
      </x:c>
      <x:c r="E101" s="53" t="str">
        <x:v>感染性主动脉炎</x:v>
      </x:c>
      <x:c r="F101" s="53" t="str">
        <x:v>复杂模式</x:v>
      </x:c>
      <x:c r="G101" s="53" t="str">
        <x:v>病种候选词（需上下文判定）</x:v>
      </x:c>
      <x:c r="H101" s="53" t="str">
        <x:v>明确/高度怀疑感染性血管壁炎症</x:v>
      </x:c>
      <x:c r="I101" s="53" t="str">
        <x:v>非感染性炎症性AAA/IgG4病变</x:v>
      </x:c>
      <x:c r="J101" s="53" t="str">
        <x:v>不得仅凭此词判模式；先全局急诊/复杂覆盖</x:v>
      </x:c>
    </x:row>
    <x:row r="102" ht="41" customHeight="1">
      <x:c r="A102" s="53" t="str">
        <x:v>K098</x:v>
      </x:c>
      <x:c r="B102" s="53" t="str">
        <x:v>R031</x:v>
      </x:c>
      <x:c r="C102" s="53" t="str">
        <x:v>4 感染性腹主动脉病</x:v>
      </x:c>
      <x:c r="D102" s="53" t="str">
        <x:v>感染性主动脉炎</x:v>
      </x:c>
      <x:c r="E102" s="53" t="str">
        <x:v>infectious aortitis</x:v>
      </x:c>
      <x:c r="F102" s="53" t="str">
        <x:v>复杂模式</x:v>
      </x:c>
      <x:c r="G102" s="53" t="str">
        <x:v>病种候选词（需上下文判定）</x:v>
      </x:c>
      <x:c r="H102" s="53" t="str">
        <x:v>明确/高度怀疑感染性血管壁炎症</x:v>
      </x:c>
      <x:c r="I102" s="53" t="str">
        <x:v>非感染性炎症性AAA/IgG4病变</x:v>
      </x:c>
      <x:c r="J102" s="53" t="str">
        <x:v>不得仅凭此词判模式；先全局急诊/复杂覆盖</x:v>
      </x:c>
    </x:row>
    <x:row r="103" ht="41" customHeight="1">
      <x:c r="A103" s="53" t="str">
        <x:v>K099</x:v>
      </x:c>
      <x:c r="B103" s="53" t="str">
        <x:v>R031</x:v>
      </x:c>
      <x:c r="C103" s="53" t="str">
        <x:v>4 感染性腹主动脉病</x:v>
      </x:c>
      <x:c r="D103" s="53" t="str">
        <x:v>感染性主动脉炎</x:v>
      </x:c>
      <x:c r="E103" s="53" t="str">
        <x:v>aortic wall infection</x:v>
      </x:c>
      <x:c r="F103" s="53" t="str">
        <x:v>复杂模式</x:v>
      </x:c>
      <x:c r="G103" s="53" t="str">
        <x:v>病种候选词（需上下文判定）</x:v>
      </x:c>
      <x:c r="H103" s="53" t="str">
        <x:v>明确/高度怀疑感染性血管壁炎症</x:v>
      </x:c>
      <x:c r="I103" s="53" t="str">
        <x:v>非感染性炎症性AAA/IgG4病变</x:v>
      </x:c>
      <x:c r="J103" s="53" t="str">
        <x:v>不得仅凭此词判模式；先全局急诊/复杂覆盖</x:v>
      </x:c>
    </x:row>
    <x:row r="104" ht="41" customHeight="1">
      <x:c r="A104" s="53" t="str">
        <x:v>K100</x:v>
      </x:c>
      <x:c r="B104" s="53" t="str">
        <x:v>R032</x:v>
      </x:c>
      <x:c r="C104" s="53" t="str">
        <x:v>4 感染性腹主动脉病</x:v>
      </x:c>
      <x:c r="D104" s="53" t="str">
        <x:v>开放修复术后人工血管感染</x:v>
      </x:c>
      <x:c r="E104" s="53" t="str">
        <x:v>开放术后人工血管感染</x:v>
      </x:c>
      <x:c r="F104" s="53" t="str">
        <x:v>复杂模式</x:v>
      </x:c>
      <x:c r="G104" s="53" t="str">
        <x:v>病种候选词（需上下文判定）</x:v>
      </x:c>
      <x:c r="H104" s="53" t="str">
        <x:v>既往OSR/人工血管植入 AND 当前感染证据</x:v>
      </x:c>
      <x:c r="I104" s="53" t="str">
        <x:v>仅浅表切口感染不能等同深部移植物感染</x:v>
      </x:c>
      <x:c r="J104" s="53" t="str">
        <x:v>不得仅凭此词判模式；先全局急诊/复杂覆盖</x:v>
      </x:c>
    </x:row>
    <x:row r="105" ht="41" customHeight="1">
      <x:c r="A105" s="53" t="str">
        <x:v>K101</x:v>
      </x:c>
      <x:c r="B105" s="53" t="str">
        <x:v>R032</x:v>
      </x:c>
      <x:c r="C105" s="53" t="str">
        <x:v>4 感染性腹主动脉病</x:v>
      </x:c>
      <x:c r="D105" s="53" t="str">
        <x:v>开放修复术后人工血管感染</x:v>
      </x:c>
      <x:c r="E105" s="53" t="str">
        <x:v>aortic graft infection</x:v>
      </x:c>
      <x:c r="F105" s="53" t="str">
        <x:v>复杂模式</x:v>
      </x:c>
      <x:c r="G105" s="53" t="str">
        <x:v>病种候选词（需上下文判定）</x:v>
      </x:c>
      <x:c r="H105" s="53" t="str">
        <x:v>既往OSR/人工血管植入 AND 当前感染证据</x:v>
      </x:c>
      <x:c r="I105" s="53" t="str">
        <x:v>仅浅表切口感染不能等同深部移植物感染</x:v>
      </x:c>
      <x:c r="J105" s="53" t="str">
        <x:v>不得仅凭此词判模式；先全局急诊/复杂覆盖</x:v>
      </x:c>
    </x:row>
    <x:row r="106" ht="41" customHeight="1">
      <x:c r="A106" s="53" t="str">
        <x:v>K102</x:v>
      </x:c>
      <x:c r="B106" s="53" t="str">
        <x:v>R032</x:v>
      </x:c>
      <x:c r="C106" s="53" t="str">
        <x:v>4 感染性腹主动脉病</x:v>
      </x:c>
      <x:c r="D106" s="53" t="str">
        <x:v>开放修复术后人工血管感染</x:v>
      </x:c>
      <x:c r="E106" s="53" t="str">
        <x:v>AGI</x:v>
      </x:c>
      <x:c r="F106" s="53" t="str">
        <x:v>复杂模式</x:v>
      </x:c>
      <x:c r="G106" s="53" t="str">
        <x:v>病种候选词（需上下文判定）</x:v>
      </x:c>
      <x:c r="H106" s="53" t="str">
        <x:v>既往OSR/人工血管植入 AND 当前感染证据</x:v>
      </x:c>
      <x:c r="I106" s="53" t="str">
        <x:v>仅浅表切口感染不能等同深部移植物感染</x:v>
      </x:c>
      <x:c r="J106" s="53" t="str">
        <x:v>不得仅凭此词判模式；先全局急诊/复杂覆盖</x:v>
      </x:c>
    </x:row>
    <x:row r="107" ht="41" customHeight="1">
      <x:c r="A107" s="53" t="str">
        <x:v>K103</x:v>
      </x:c>
      <x:c r="B107" s="53" t="str">
        <x:v>R032</x:v>
      </x:c>
      <x:c r="C107" s="53" t="str">
        <x:v>4 感染性腹主动脉病</x:v>
      </x:c>
      <x:c r="D107" s="53" t="str">
        <x:v>开放修复术后人工血管感染</x:v>
      </x:c>
      <x:c r="E107" s="53" t="str">
        <x:v>OSR graft infection</x:v>
      </x:c>
      <x:c r="F107" s="53" t="str">
        <x:v>复杂模式</x:v>
      </x:c>
      <x:c r="G107" s="53" t="str">
        <x:v>病种候选词（需上下文判定）</x:v>
      </x:c>
      <x:c r="H107" s="53" t="str">
        <x:v>既往OSR/人工血管植入 AND 当前感染证据</x:v>
      </x:c>
      <x:c r="I107" s="53" t="str">
        <x:v>仅浅表切口感染不能等同深部移植物感染</x:v>
      </x:c>
      <x:c r="J107" s="53" t="str">
        <x:v>不得仅凭此词判模式；先全局急诊/复杂覆盖</x:v>
      </x:c>
    </x:row>
    <x:row r="108" ht="41" customHeight="1">
      <x:c r="A108" s="53" t="str">
        <x:v>K104</x:v>
      </x:c>
      <x:c r="B108" s="53" t="str">
        <x:v>R033</x:v>
      </x:c>
      <x:c r="C108" s="53" t="str">
        <x:v>4 感染性腹主动脉病</x:v>
      </x:c>
      <x:c r="D108" s="53" t="str">
        <x:v>EVAR术后支架移植物感染</x:v>
      </x:c>
      <x:c r="E108" s="53" t="str">
        <x:v>支架移植物感染</x:v>
      </x:c>
      <x:c r="F108" s="53" t="str">
        <x:v>复杂模式</x:v>
      </x:c>
      <x:c r="G108" s="53" t="str">
        <x:v>病种候选词（需上下文判定）</x:v>
      </x:c>
      <x:c r="H108" s="53" t="str">
        <x:v>既往EVAR AND 感染提示支持移植物感染</x:v>
      </x:c>
      <x:c r="I108" s="53" t="str">
        <x:v>术后早期发热但无移植物感染证据</x:v>
      </x:c>
      <x:c r="J108" s="53" t="str">
        <x:v>不得仅凭此词判模式；先全局急诊/复杂覆盖</x:v>
      </x:c>
    </x:row>
    <x:row r="109" ht="41" customHeight="1">
      <x:c r="A109" s="53" t="str">
        <x:v>K105</x:v>
      </x:c>
      <x:c r="B109" s="53" t="str">
        <x:v>R033</x:v>
      </x:c>
      <x:c r="C109" s="53" t="str">
        <x:v>4 感染性腹主动脉病</x:v>
      </x:c>
      <x:c r="D109" s="53" t="str">
        <x:v>EVAR术后支架移植物感染</x:v>
      </x:c>
      <x:c r="E109" s="53" t="str">
        <x:v>endograft infection</x:v>
      </x:c>
      <x:c r="F109" s="53" t="str">
        <x:v>复杂模式</x:v>
      </x:c>
      <x:c r="G109" s="53" t="str">
        <x:v>病种候选词（需上下文判定）</x:v>
      </x:c>
      <x:c r="H109" s="53" t="str">
        <x:v>既往EVAR AND 感染提示支持移植物感染</x:v>
      </x:c>
      <x:c r="I109" s="53" t="str">
        <x:v>术后早期发热但无移植物感染证据</x:v>
      </x:c>
      <x:c r="J109" s="53" t="str">
        <x:v>不得仅凭此词判模式；先全局急诊/复杂覆盖</x:v>
      </x:c>
    </x:row>
    <x:row r="110" ht="41" customHeight="1">
      <x:c r="A110" s="53" t="str">
        <x:v>K106</x:v>
      </x:c>
      <x:c r="B110" s="53" t="str">
        <x:v>R033</x:v>
      </x:c>
      <x:c r="C110" s="53" t="str">
        <x:v>4 感染性腹主动脉病</x:v>
      </x:c>
      <x:c r="D110" s="53" t="str">
        <x:v>EVAR术后支架移植物感染</x:v>
      </x:c>
      <x:c r="E110" s="53" t="str">
        <x:v>EVAR graft infection</x:v>
      </x:c>
      <x:c r="F110" s="53" t="str">
        <x:v>复杂模式</x:v>
      </x:c>
      <x:c r="G110" s="53" t="str">
        <x:v>病种候选词（需上下文判定）</x:v>
      </x:c>
      <x:c r="H110" s="53" t="str">
        <x:v>既往EVAR AND 感染提示支持移植物感染</x:v>
      </x:c>
      <x:c r="I110" s="53" t="str">
        <x:v>术后早期发热但无移植物感染证据</x:v>
      </x:c>
      <x:c r="J110" s="53" t="str">
        <x:v>不得仅凭此词判模式；先全局急诊/复杂覆盖</x:v>
      </x:c>
    </x:row>
    <x:row r="111" ht="41" customHeight="1">
      <x:c r="A111" s="53" t="str">
        <x:v>K107</x:v>
      </x:c>
      <x:c r="B111" s="53" t="str">
        <x:v>R034</x:v>
      </x:c>
      <x:c r="C111" s="53" t="str">
        <x:v>4 感染性腹主动脉病</x:v>
      </x:c>
      <x:c r="D111" s="53" t="str">
        <x:v>局限性移植物感染</x:v>
      </x:c>
      <x:c r="E111" s="53" t="str">
        <x:v>局限性支架感染</x:v>
      </x:c>
      <x:c r="F111" s="53" t="str">
        <x:v>复杂模式</x:v>
      </x:c>
      <x:c r="G111" s="53" t="str">
        <x:v>病种候选词（需上下文判定）</x:v>
      </x:c>
      <x:c r="H111" s="53" t="str">
        <x:v>已有移植物感染诊断 AND 证据支持范围局限</x:v>
      </x:c>
      <x:c r="I111" s="53" t="str">
        <x:v>不应仅基于短语直接决定部分切除</x:v>
      </x:c>
      <x:c r="J111" s="53" t="str">
        <x:v>不得仅凭此词判模式；先全局急诊/复杂覆盖</x:v>
      </x:c>
    </x:row>
    <x:row r="112" ht="41" customHeight="1">
      <x:c r="A112" s="53" t="str">
        <x:v>K108</x:v>
      </x:c>
      <x:c r="B112" s="53" t="str">
        <x:v>R034</x:v>
      </x:c>
      <x:c r="C112" s="53" t="str">
        <x:v>4 感染性腹主动脉病</x:v>
      </x:c>
      <x:c r="D112" s="53" t="str">
        <x:v>局限性移植物感染</x:v>
      </x:c>
      <x:c r="E112" s="53" t="str">
        <x:v>localized graft infection</x:v>
      </x:c>
      <x:c r="F112" s="53" t="str">
        <x:v>复杂模式</x:v>
      </x:c>
      <x:c r="G112" s="53" t="str">
        <x:v>病种候选词（需上下文判定）</x:v>
      </x:c>
      <x:c r="H112" s="53" t="str">
        <x:v>已有移植物感染诊断 AND 证据支持范围局限</x:v>
      </x:c>
      <x:c r="I112" s="53" t="str">
        <x:v>不应仅基于短语直接决定部分切除</x:v>
      </x:c>
      <x:c r="J112" s="53" t="str">
        <x:v>不得仅凭此词判模式；先全局急诊/复杂覆盖</x:v>
      </x:c>
    </x:row>
    <x:row r="113" ht="41" customHeight="1">
      <x:c r="A113" s="53" t="str">
        <x:v>K109</x:v>
      </x:c>
      <x:c r="B113" s="53" t="str">
        <x:v>R034</x:v>
      </x:c>
      <x:c r="C113" s="53" t="str">
        <x:v>4 感染性腹主动脉病</x:v>
      </x:c>
      <x:c r="D113" s="53" t="str">
        <x:v>局限性移植物感染</x:v>
      </x:c>
      <x:c r="E113" s="53" t="str">
        <x:v>局灶移植物感染</x:v>
      </x:c>
      <x:c r="F113" s="53" t="str">
        <x:v>复杂模式</x:v>
      </x:c>
      <x:c r="G113" s="53" t="str">
        <x:v>病种候选词（需上下文判定）</x:v>
      </x:c>
      <x:c r="H113" s="53" t="str">
        <x:v>已有移植物感染诊断 AND 证据支持范围局限</x:v>
      </x:c>
      <x:c r="I113" s="53" t="str">
        <x:v>不应仅基于短语直接决定部分切除</x:v>
      </x:c>
      <x:c r="J113" s="53" t="str">
        <x:v>不得仅凭此词判模式；先全局急诊/复杂覆盖</x:v>
      </x:c>
    </x:row>
    <x:row r="114" ht="41" customHeight="1">
      <x:c r="A114" s="53" t="str">
        <x:v>K110</x:v>
      </x:c>
      <x:c r="B114" s="53" t="str">
        <x:v>R035</x:v>
      </x:c>
      <x:c r="C114" s="53" t="str">
        <x:v>4 感染性腹主动脉病</x:v>
      </x:c>
      <x:c r="D114" s="53" t="str">
        <x:v>感染伴移植物肠瘘</x:v>
      </x:c>
      <x:c r="E114" s="53" t="str">
        <x:v>移植物肠瘘</x:v>
      </x:c>
      <x:c r="F114" s="53" t="str">
        <x:v>复杂模式</x:v>
      </x:c>
      <x:c r="G114" s="53" t="str">
        <x:v>病种候选词（需上下文判定）</x:v>
      </x:c>
      <x:c r="H114" s="53" t="str">
        <x:v>既往主动脉人工血管/支架 AND 肠道交通或高度怀疑</x:v>
      </x:c>
      <x:c r="I114" s="53" t="str">
        <x:v>原发性无手术史肠瘘另列</x:v>
      </x:c>
      <x:c r="J114" s="53" t="str">
        <x:v>不得仅凭此词判模式；先全局急诊/复杂覆盖</x:v>
      </x:c>
    </x:row>
    <x:row r="115" ht="41" customHeight="1">
      <x:c r="A115" s="53" t="str">
        <x:v>K111</x:v>
      </x:c>
      <x:c r="B115" s="53" t="str">
        <x:v>R035</x:v>
      </x:c>
      <x:c r="C115" s="53" t="str">
        <x:v>4 感染性腹主动脉病</x:v>
      </x:c>
      <x:c r="D115" s="53" t="str">
        <x:v>感染伴移植物肠瘘</x:v>
      </x:c>
      <x:c r="E115" s="53" t="str">
        <x:v>graft-enteric fistula</x:v>
      </x:c>
      <x:c r="F115" s="53" t="str">
        <x:v>复杂模式</x:v>
      </x:c>
      <x:c r="G115" s="53" t="str">
        <x:v>病种候选词（需上下文判定）</x:v>
      </x:c>
      <x:c r="H115" s="53" t="str">
        <x:v>既往主动脉人工血管/支架 AND 肠道交通或高度怀疑</x:v>
      </x:c>
      <x:c r="I115" s="53" t="str">
        <x:v>原发性无手术史肠瘘另列</x:v>
      </x:c>
      <x:c r="J115" s="53" t="str">
        <x:v>不得仅凭此词判模式；先全局急诊/复杂覆盖</x:v>
      </x:c>
    </x:row>
    <x:row r="116" ht="41" customHeight="1">
      <x:c r="A116" s="53" t="str">
        <x:v>K112</x:v>
      </x:c>
      <x:c r="B116" s="53" t="str">
        <x:v>R035</x:v>
      </x:c>
      <x:c r="C116" s="53" t="str">
        <x:v>4 感染性腹主动脉病</x:v>
      </x:c>
      <x:c r="D116" s="53" t="str">
        <x:v>感染伴移植物肠瘘</x:v>
      </x:c>
      <x:c r="E116" s="53" t="str">
        <x:v>GEF</x:v>
      </x:c>
      <x:c r="F116" s="53" t="str">
        <x:v>复杂模式</x:v>
      </x:c>
      <x:c r="G116" s="53" t="str">
        <x:v>病种候选词（需上下文判定）</x:v>
      </x:c>
      <x:c r="H116" s="53" t="str">
        <x:v>既往主动脉人工血管/支架 AND 肠道交通或高度怀疑</x:v>
      </x:c>
      <x:c r="I116" s="53" t="str">
        <x:v>原发性无手术史肠瘘另列</x:v>
      </x:c>
      <x:c r="J116" s="53" t="str">
        <x:v>不得仅凭此词判模式；先全局急诊/复杂覆盖</x:v>
      </x:c>
    </x:row>
    <x:row r="117" ht="41" customHeight="1">
      <x:c r="A117" s="53" t="str">
        <x:v>K113</x:v>
      </x:c>
      <x:c r="B117" s="53" t="str">
        <x:v>R035</x:v>
      </x:c>
      <x:c r="C117" s="53" t="str">
        <x:v>4 感染性腹主动脉病</x:v>
      </x:c>
      <x:c r="D117" s="53" t="str">
        <x:v>感染伴移植物肠瘘</x:v>
      </x:c>
      <x:c r="E117" s="53" t="str">
        <x:v>secondary aortoenteric fistula</x:v>
      </x:c>
      <x:c r="F117" s="53" t="str">
        <x:v>复杂模式</x:v>
      </x:c>
      <x:c r="G117" s="53" t="str">
        <x:v>病种候选词（需上下文判定）</x:v>
      </x:c>
      <x:c r="H117" s="53" t="str">
        <x:v>既往主动脉人工血管/支架 AND 肠道交通或高度怀疑</x:v>
      </x:c>
      <x:c r="I117" s="53" t="str">
        <x:v>原发性无手术史肠瘘另列</x:v>
      </x:c>
      <x:c r="J117" s="53" t="str">
        <x:v>不得仅凭此词判模式；先全局急诊/复杂覆盖</x:v>
      </x:c>
    </x:row>
    <x:row r="118" ht="41" customHeight="1">
      <x:c r="A118" s="53" t="str">
        <x:v>K114</x:v>
      </x:c>
      <x:c r="B118" s="53" t="str">
        <x:v>R036</x:v>
      </x:c>
      <x:c r="C118" s="53" t="str">
        <x:v>4 感染性腹主动脉病</x:v>
      </x:c>
      <x:c r="D118" s="53" t="str">
        <x:v>移植物周围脓肿/感染性积液</x:v>
      </x:c>
      <x:c r="E118" s="53" t="str">
        <x:v>移植物周围脓肿</x:v>
      </x:c>
      <x:c r="F118" s="53" t="str">
        <x:v>复杂模式</x:v>
      </x:c>
      <x:c r="G118" s="53" t="str">
        <x:v>病种候选词（需上下文判定）</x:v>
      </x:c>
      <x:c r="H118" s="53" t="str">
        <x:v>既往主动脉重建 AND 影像/病原证据支持移植物周围感染</x:v>
      </x:c>
      <x:c r="I118" s="53" t="str">
        <x:v>仅无菌性积液/术后早期正常改变</x:v>
      </x:c>
      <x:c r="J118" s="53" t="str">
        <x:v>不得仅凭此词判模式；先全局急诊/复杂覆盖</x:v>
      </x:c>
    </x:row>
    <x:row r="119" ht="41" customHeight="1">
      <x:c r="A119" s="53" t="str">
        <x:v>K115</x:v>
      </x:c>
      <x:c r="B119" s="53" t="str">
        <x:v>R036</x:v>
      </x:c>
      <x:c r="C119" s="53" t="str">
        <x:v>4 感染性腹主动脉病</x:v>
      </x:c>
      <x:c r="D119" s="53" t="str">
        <x:v>移植物周围脓肿/感染性积液</x:v>
      </x:c>
      <x:c r="E119" s="53" t="str">
        <x:v>perigraft abscess</x:v>
      </x:c>
      <x:c r="F119" s="53" t="str">
        <x:v>复杂模式</x:v>
      </x:c>
      <x:c r="G119" s="53" t="str">
        <x:v>病种候选词（需上下文判定）</x:v>
      </x:c>
      <x:c r="H119" s="53" t="str">
        <x:v>既往主动脉重建 AND 影像/病原证据支持移植物周围感染</x:v>
      </x:c>
      <x:c r="I119" s="53" t="str">
        <x:v>仅无菌性积液/术后早期正常改变</x:v>
      </x:c>
      <x:c r="J119" s="53" t="str">
        <x:v>不得仅凭此词判模式；先全局急诊/复杂覆盖</x:v>
      </x:c>
    </x:row>
    <x:row r="120" ht="41" customHeight="1">
      <x:c r="A120" s="53" t="str">
        <x:v>K116</x:v>
      </x:c>
      <x:c r="B120" s="53" t="str">
        <x:v>R036</x:v>
      </x:c>
      <x:c r="C120" s="53" t="str">
        <x:v>4 感染性腹主动脉病</x:v>
      </x:c>
      <x:c r="D120" s="53" t="str">
        <x:v>移植物周围脓肿/感染性积液</x:v>
      </x:c>
      <x:c r="E120" s="53" t="str">
        <x:v>perigraft infection</x:v>
      </x:c>
      <x:c r="F120" s="53" t="str">
        <x:v>复杂模式</x:v>
      </x:c>
      <x:c r="G120" s="53" t="str">
        <x:v>病种候选词（需上下文判定）</x:v>
      </x:c>
      <x:c r="H120" s="53" t="str">
        <x:v>既往主动脉重建 AND 影像/病原证据支持移植物周围感染</x:v>
      </x:c>
      <x:c r="I120" s="53" t="str">
        <x:v>仅无菌性积液/术后早期正常改变</x:v>
      </x:c>
      <x:c r="J120" s="53" t="str">
        <x:v>不得仅凭此词判模式；先全局急诊/复杂覆盖</x:v>
      </x:c>
    </x:row>
    <x:row r="121" ht="41" customHeight="1">
      <x:c r="A121" s="53" t="str">
        <x:v>K117</x:v>
      </x:c>
      <x:c r="B121" s="53" t="str">
        <x:v>R037</x:v>
      </x:c>
      <x:c r="C121" s="53" t="str">
        <x:v>4 感染性腹主动脉病</x:v>
      </x:c>
      <x:c r="D121" s="53" t="str">
        <x:v>疑似移植物感染待查</x:v>
      </x:c>
      <x:c r="E121" s="53" t="str">
        <x:v>怀疑移植物感染</x:v>
      </x:c>
      <x:c r="F121" s="53" t="str">
        <x:v>复杂模式</x:v>
      </x:c>
      <x:c r="G121" s="53" t="str">
        <x:v>病种候选词（需上下文判定）</x:v>
      </x:c>
      <x:c r="H121" s="53" t="str">
        <x:v>明确移植物存在 AND 临床/影像感染警示</x:v>
      </x:c>
      <x:c r="I121" s="53" t="str">
        <x:v>已排除感染/仅历史病历记载</x:v>
      </x:c>
      <x:c r="J121" s="53" t="str">
        <x:v>不得仅凭此词判模式；先全局急诊/复杂覆盖</x:v>
      </x:c>
    </x:row>
    <x:row r="122" ht="41" customHeight="1">
      <x:c r="A122" s="53" t="str">
        <x:v>K118</x:v>
      </x:c>
      <x:c r="B122" s="53" t="str">
        <x:v>R037</x:v>
      </x:c>
      <x:c r="C122" s="53" t="str">
        <x:v>4 感染性腹主动脉病</x:v>
      </x:c>
      <x:c r="D122" s="53" t="str">
        <x:v>疑似移植物感染待查</x:v>
      </x:c>
      <x:c r="E122" s="53" t="str">
        <x:v>suspected endograft infection</x:v>
      </x:c>
      <x:c r="F122" s="53" t="str">
        <x:v>复杂模式</x:v>
      </x:c>
      <x:c r="G122" s="53" t="str">
        <x:v>病种候选词（需上下文判定）</x:v>
      </x:c>
      <x:c r="H122" s="53" t="str">
        <x:v>明确移植物存在 AND 临床/影像感染警示</x:v>
      </x:c>
      <x:c r="I122" s="53" t="str">
        <x:v>已排除感染/仅历史病历记载</x:v>
      </x:c>
      <x:c r="J122" s="53" t="str">
        <x:v>不得仅凭此词判模式；先全局急诊/复杂覆盖</x:v>
      </x:c>
    </x:row>
    <x:row r="123" ht="41" customHeight="1">
      <x:c r="A123" s="53" t="str">
        <x:v>K119</x:v>
      </x:c>
      <x:c r="B123" s="53" t="str">
        <x:v>R037</x:v>
      </x:c>
      <x:c r="C123" s="53" t="str">
        <x:v>4 感染性腹主动脉病</x:v>
      </x:c>
      <x:c r="D123" s="53" t="str">
        <x:v>疑似移植物感染待查</x:v>
      </x:c>
      <x:c r="E123" s="53" t="str">
        <x:v>疑似人工血管感染</x:v>
      </x:c>
      <x:c r="F123" s="53" t="str">
        <x:v>复杂模式</x:v>
      </x:c>
      <x:c r="G123" s="53" t="str">
        <x:v>病种候选词（需上下文判定）</x:v>
      </x:c>
      <x:c r="H123" s="53" t="str">
        <x:v>明确移植物存在 AND 临床/影像感染警示</x:v>
      </x:c>
      <x:c r="I123" s="53" t="str">
        <x:v>已排除感染/仅历史病历记载</x:v>
      </x:c>
      <x:c r="J123" s="53" t="str">
        <x:v>不得仅凭此词判模式；先全局急诊/复杂覆盖</x:v>
      </x:c>
    </x:row>
    <x:row r="124" ht="41" customHeight="1">
      <x:c r="A124" s="53" t="str">
        <x:v>K120</x:v>
      </x:c>
      <x:c r="B124" s="53" t="str">
        <x:v>R038</x:v>
      </x:c>
      <x:c r="C124" s="53" t="str">
        <x:v>5 其他特殊腹主动脉病</x:v>
      </x:c>
      <x:c r="D124" s="53" t="str">
        <x:v>炎症性腹主动脉瘤</x:v>
      </x:c>
      <x:c r="E124" s="53" t="str">
        <x:v>炎症性腹主动脉瘤</x:v>
      </x:c>
      <x:c r="F124" s="53" t="str">
        <x:v>复杂模式</x:v>
      </x:c>
      <x:c r="G124" s="53" t="str">
        <x:v>病种候选词（需上下文判定）</x:v>
      </x:c>
      <x:c r="H124" s="53" t="str">
        <x:v>影像/病理支持动脉瘤伴主动脉周围纤维炎症</x:v>
      </x:c>
      <x:c r="I124" s="53" t="str">
        <x:v>感染性动脉瘤未排除时不按非感染性炎症分类</x:v>
      </x:c>
      <x:c r="J124" s="53" t="str">
        <x:v>不得仅凭此词判模式；先全局急诊/复杂覆盖</x:v>
      </x:c>
    </x:row>
    <x:row r="125" ht="41" customHeight="1">
      <x:c r="A125" s="53" t="str">
        <x:v>K121</x:v>
      </x:c>
      <x:c r="B125" s="53" t="str">
        <x:v>R038</x:v>
      </x:c>
      <x:c r="C125" s="53" t="str">
        <x:v>5 其他特殊腹主动脉病</x:v>
      </x:c>
      <x:c r="D125" s="53" t="str">
        <x:v>炎症性腹主动脉瘤</x:v>
      </x:c>
      <x:c r="E125" s="53" t="str">
        <x:v>inflammatory AAA</x:v>
      </x:c>
      <x:c r="F125" s="53" t="str">
        <x:v>复杂模式</x:v>
      </x:c>
      <x:c r="G125" s="53" t="str">
        <x:v>病种候选词（需上下文判定）</x:v>
      </x:c>
      <x:c r="H125" s="53" t="str">
        <x:v>影像/病理支持动脉瘤伴主动脉周围纤维炎症</x:v>
      </x:c>
      <x:c r="I125" s="53" t="str">
        <x:v>感染性动脉瘤未排除时不按非感染性炎症分类</x:v>
      </x:c>
      <x:c r="J125" s="53" t="str">
        <x:v>不得仅凭此词判模式；先全局急诊/复杂覆盖</x:v>
      </x:c>
    </x:row>
    <x:row r="126" ht="41" customHeight="1">
      <x:c r="A126" s="53" t="str">
        <x:v>K122</x:v>
      </x:c>
      <x:c r="B126" s="53" t="str">
        <x:v>R038</x:v>
      </x:c>
      <x:c r="C126" s="53" t="str">
        <x:v>5 其他特殊腹主动脉病</x:v>
      </x:c>
      <x:c r="D126" s="53" t="str">
        <x:v>炎症性腹主动脉瘤</x:v>
      </x:c>
      <x:c r="E126" s="53" t="str">
        <x:v>IAA inflammatory aneurysm</x:v>
      </x:c>
      <x:c r="F126" s="53" t="str">
        <x:v>复杂模式</x:v>
      </x:c>
      <x:c r="G126" s="53" t="str">
        <x:v>病种候选词（需上下文判定）</x:v>
      </x:c>
      <x:c r="H126" s="53" t="str">
        <x:v>影像/病理支持动脉瘤伴主动脉周围纤维炎症</x:v>
      </x:c>
      <x:c r="I126" s="53" t="str">
        <x:v>感染性动脉瘤未排除时不按非感染性炎症分类</x:v>
      </x:c>
      <x:c r="J126" s="53" t="str">
        <x:v>不得仅凭此词判模式；先全局急诊/复杂覆盖</x:v>
      </x:c>
    </x:row>
    <x:row r="127" ht="41" customHeight="1">
      <x:c r="A127" s="53" t="str">
        <x:v>K123</x:v>
      </x:c>
      <x:c r="B127" s="53" t="str">
        <x:v>R039</x:v>
      </x:c>
      <x:c r="C127" s="53" t="str">
        <x:v>5 其他特殊腹主动脉病</x:v>
      </x:c>
      <x:c r="D127" s="53" t="str">
        <x:v>IgG4相关腹主动脉周围炎/动脉瘤</x:v>
      </x:c>
      <x:c r="E127" s="53" t="str">
        <x:v>IgG4相关主动脉病</x:v>
      </x:c>
      <x:c r="F127" s="53" t="str">
        <x:v>复杂模式</x:v>
      </x:c>
      <x:c r="G127" s="53" t="str">
        <x:v>病种候选词（需上下文判定）</x:v>
      </x:c>
      <x:c r="H127" s="53" t="str">
        <x:v>有IgG4相关疾病证据及主动脉受累</x:v>
      </x:c>
      <x:c r="I127" s="53" t="str">
        <x:v>单纯血IgG4升高不能作为病因确诊</x:v>
      </x:c>
      <x:c r="J127" s="53" t="str">
        <x:v>不得仅凭此词判模式；先全局急诊/复杂覆盖</x:v>
      </x:c>
    </x:row>
    <x:row r="128" ht="41" customHeight="1">
      <x:c r="A128" s="53" t="str">
        <x:v>K124</x:v>
      </x:c>
      <x:c r="B128" s="53" t="str">
        <x:v>R039</x:v>
      </x:c>
      <x:c r="C128" s="53" t="str">
        <x:v>5 其他特殊腹主动脉病</x:v>
      </x:c>
      <x:c r="D128" s="53" t="str">
        <x:v>IgG4相关腹主动脉周围炎/动脉瘤</x:v>
      </x:c>
      <x:c r="E128" s="53" t="str">
        <x:v>IgG4-related periaortitis</x:v>
      </x:c>
      <x:c r="F128" s="53" t="str">
        <x:v>复杂模式</x:v>
      </x:c>
      <x:c r="G128" s="53" t="str">
        <x:v>病种候选词（需上下文判定）</x:v>
      </x:c>
      <x:c r="H128" s="53" t="str">
        <x:v>有IgG4相关疾病证据及主动脉受累</x:v>
      </x:c>
      <x:c r="I128" s="53" t="str">
        <x:v>单纯血IgG4升高不能作为病因确诊</x:v>
      </x:c>
      <x:c r="J128" s="53" t="str">
        <x:v>不得仅凭此词判模式；先全局急诊/复杂覆盖</x:v>
      </x:c>
    </x:row>
    <x:row r="129" ht="41" customHeight="1">
      <x:c r="A129" s="53" t="str">
        <x:v>K125</x:v>
      </x:c>
      <x:c r="B129" s="53" t="str">
        <x:v>R039</x:v>
      </x:c>
      <x:c r="C129" s="53" t="str">
        <x:v>5 其他特殊腹主动脉病</x:v>
      </x:c>
      <x:c r="D129" s="53" t="str">
        <x:v>IgG4相关腹主动脉周围炎/动脉瘤</x:v>
      </x:c>
      <x:c r="E129" s="53" t="str">
        <x:v>IgG4 AAA</x:v>
      </x:c>
      <x:c r="F129" s="53" t="str">
        <x:v>复杂模式</x:v>
      </x:c>
      <x:c r="G129" s="53" t="str">
        <x:v>病种候选词（需上下文判定）</x:v>
      </x:c>
      <x:c r="H129" s="53" t="str">
        <x:v>有IgG4相关疾病证据及主动脉受累</x:v>
      </x:c>
      <x:c r="I129" s="53" t="str">
        <x:v>单纯血IgG4升高不能作为病因确诊</x:v>
      </x:c>
      <x:c r="J129" s="53" t="str">
        <x:v>不得仅凭此词判模式；先全局急诊/复杂覆盖</x:v>
      </x:c>
    </x:row>
    <x:row r="130" ht="41" customHeight="1">
      <x:c r="A130" s="53" t="str">
        <x:v>K126</x:v>
      </x:c>
      <x:c r="B130" s="53" t="str">
        <x:v>R040</x:v>
      </x:c>
      <x:c r="C130" s="53" t="str">
        <x:v>5 其他特殊腹主动脉病</x:v>
      </x:c>
      <x:c r="D130" s="53" t="str">
        <x:v>非感染性囊状AAA</x:v>
      </x:c>
      <x:c r="E130" s="53" t="str">
        <x:v>囊状腹主动脉瘤</x:v>
      </x:c>
      <x:c r="F130" s="53" t="str">
        <x:v>复杂模式</x:v>
      </x:c>
      <x:c r="G130" s="53" t="str">
        <x:v>病种候选词（需上下文判定）</x:v>
      </x:c>
      <x:c r="H130" s="53" t="str">
        <x:v>囊状形态证据 AND 感染与假性瘤需排除</x:v>
      </x:c>
      <x:c r="I130" s="53" t="str">
        <x:v>囊状形态不等于典型退行性梭形AAA</x:v>
      </x:c>
      <x:c r="J130" s="53" t="str">
        <x:v>不得仅凭此词判模式；先全局急诊/复杂覆盖</x:v>
      </x:c>
    </x:row>
    <x:row r="131" ht="41" customHeight="1">
      <x:c r="A131" s="53" t="str">
        <x:v>K127</x:v>
      </x:c>
      <x:c r="B131" s="53" t="str">
        <x:v>R040</x:v>
      </x:c>
      <x:c r="C131" s="53" t="str">
        <x:v>5 其他特殊腹主动脉病</x:v>
      </x:c>
      <x:c r="D131" s="53" t="str">
        <x:v>非感染性囊状AAA</x:v>
      </x:c>
      <x:c r="E131" s="53" t="str">
        <x:v>saccular AAA</x:v>
      </x:c>
      <x:c r="F131" s="53" t="str">
        <x:v>复杂模式</x:v>
      </x:c>
      <x:c r="G131" s="53" t="str">
        <x:v>病种候选词（需上下文判定）</x:v>
      </x:c>
      <x:c r="H131" s="53" t="str">
        <x:v>囊状形态证据 AND 感染与假性瘤需排除</x:v>
      </x:c>
      <x:c r="I131" s="53" t="str">
        <x:v>囊状形态不等于典型退行性梭形AAA</x:v>
      </x:c>
      <x:c r="J131" s="53" t="str">
        <x:v>不得仅凭此词判模式；先全局急诊/复杂覆盖</x:v>
      </x:c>
    </x:row>
    <x:row r="132" ht="41" customHeight="1">
      <x:c r="A132" s="53" t="str">
        <x:v>K128</x:v>
      </x:c>
      <x:c r="B132" s="53" t="str">
        <x:v>R040</x:v>
      </x:c>
      <x:c r="C132" s="53" t="str">
        <x:v>5 其他特殊腹主动脉病</x:v>
      </x:c>
      <x:c r="D132" s="53" t="str">
        <x:v>非感染性囊状AAA</x:v>
      </x:c>
      <x:c r="E132" s="53" t="str">
        <x:v>saccular abdominal aneurysm</x:v>
      </x:c>
      <x:c r="F132" s="53" t="str">
        <x:v>复杂模式</x:v>
      </x:c>
      <x:c r="G132" s="53" t="str">
        <x:v>病种候选词（需上下文判定）</x:v>
      </x:c>
      <x:c r="H132" s="53" t="str">
        <x:v>囊状形态证据 AND 感染与假性瘤需排除</x:v>
      </x:c>
      <x:c r="I132" s="53" t="str">
        <x:v>囊状形态不等于典型退行性梭形AAA</x:v>
      </x:c>
      <x:c r="J132" s="53" t="str">
        <x:v>不得仅凭此词判模式；先全局急诊/复杂覆盖</x:v>
      </x:c>
    </x:row>
    <x:row r="133" ht="41" customHeight="1">
      <x:c r="A133" s="53" t="str">
        <x:v>K129</x:v>
      </x:c>
      <x:c r="B133" s="53" t="str">
        <x:v>R041</x:v>
      </x:c>
      <x:c r="C133" s="53" t="str">
        <x:v>5 其他特殊腹主动脉病</x:v>
      </x:c>
      <x:c r="D133" s="53" t="str">
        <x:v>稳定无并发症腹主动脉PAU</x:v>
      </x:c>
      <x:c r="E133" s="53" t="str">
        <x:v>腹主动脉穿透性溃疡</x:v>
      </x:c>
      <x:c r="F133" s="53" t="str">
        <x:v>复杂模式</x:v>
      </x:c>
      <x:c r="G133" s="53" t="str">
        <x:v>病种候选词（需上下文判定）</x:v>
      </x:c>
      <x:c r="H133" s="53" t="str">
        <x:v>PAU确诊 AND 无扩张/血肿/假性瘤/反复痛/栓塞/灌注障碍</x:v>
      </x:c>
      <x:c r="I133" s="53" t="str">
        <x:v>胸主动脉PAU需标界；合并并发症不得归无并发症</x:v>
      </x:c>
      <x:c r="J133" s="53" t="str">
        <x:v>不得仅凭此词判模式；先全局急诊/复杂覆盖</x:v>
      </x:c>
    </x:row>
    <x:row r="134" ht="41" customHeight="1">
      <x:c r="A134" s="53" t="str">
        <x:v>K130</x:v>
      </x:c>
      <x:c r="B134" s="53" t="str">
        <x:v>R041</x:v>
      </x:c>
      <x:c r="C134" s="53" t="str">
        <x:v>5 其他特殊腹主动脉病</x:v>
      </x:c>
      <x:c r="D134" s="53" t="str">
        <x:v>稳定无并发症腹主动脉PAU</x:v>
      </x:c>
      <x:c r="E134" s="53" t="str">
        <x:v>abdominal PAU</x:v>
      </x:c>
      <x:c r="F134" s="53" t="str">
        <x:v>复杂模式</x:v>
      </x:c>
      <x:c r="G134" s="53" t="str">
        <x:v>病种候选词（需上下文判定）</x:v>
      </x:c>
      <x:c r="H134" s="53" t="str">
        <x:v>PAU确诊 AND 无扩张/血肿/假性瘤/反复痛/栓塞/灌注障碍</x:v>
      </x:c>
      <x:c r="I134" s="53" t="str">
        <x:v>胸主动脉PAU需标界；合并并发症不得归无并发症</x:v>
      </x:c>
      <x:c r="J134" s="53" t="str">
        <x:v>不得仅凭此词判模式；先全局急诊/复杂覆盖</x:v>
      </x:c>
    </x:row>
    <x:row r="135" ht="41" customHeight="1">
      <x:c r="A135" s="53" t="str">
        <x:v>K131</x:v>
      </x:c>
      <x:c r="B135" s="53" t="str">
        <x:v>R041</x:v>
      </x:c>
      <x:c r="C135" s="53" t="str">
        <x:v>5 其他特殊腹主动脉病</x:v>
      </x:c>
      <x:c r="D135" s="53" t="str">
        <x:v>稳定无并发症腹主动脉PAU</x:v>
      </x:c>
      <x:c r="E135" s="53" t="str">
        <x:v>penetrating aortic ulcer</x:v>
      </x:c>
      <x:c r="F135" s="53" t="str">
        <x:v>复杂模式</x:v>
      </x:c>
      <x:c r="G135" s="53" t="str">
        <x:v>病种候选词（需上下文判定）</x:v>
      </x:c>
      <x:c r="H135" s="53" t="str">
        <x:v>PAU确诊 AND 无扩张/血肿/假性瘤/反复痛/栓塞/灌注障碍</x:v>
      </x:c>
      <x:c r="I135" s="53" t="str">
        <x:v>胸主动脉PAU需标界；合并并发症不得归无并发症</x:v>
      </x:c>
      <x:c r="J135" s="53" t="str">
        <x:v>不得仅凭此词判模式；先全局急诊/复杂覆盖</x:v>
      </x:c>
    </x:row>
    <x:row r="136" ht="41" customHeight="1">
      <x:c r="A136" s="53" t="str">
        <x:v>K132</x:v>
      </x:c>
      <x:c r="B136" s="53" t="str">
        <x:v>R042</x:v>
      </x:c>
      <x:c r="C136" s="53" t="str">
        <x:v>5 其他特殊腹主动脉病</x:v>
      </x:c>
      <x:c r="D136" s="53" t="str">
        <x:v>有并发症腹主动脉PAU</x:v>
      </x:c>
      <x:c r="E136" s="53" t="str">
        <x:v>复杂穿透性溃疡</x:v>
      </x:c>
      <x:c r="F136" s="53" t="str">
        <x:v>复杂模式</x:v>
      </x:c>
      <x:c r="G136" s="53" t="str">
        <x:v>病种候选词（需上下文判定）</x:v>
      </x:c>
      <x:c r="H136" s="53" t="str">
        <x:v>PAU + 增大/血肿/假性瘤/反复痛/栓塞/灌注障碍之一</x:v>
      </x:c>
      <x:c r="I136" s="53" t="str">
        <x:v>无并发症、稳定、已排除危险因素</x:v>
      </x:c>
      <x:c r="J136" s="53" t="str">
        <x:v>不得仅凭此词判模式；先全局急诊/复杂覆盖</x:v>
      </x:c>
    </x:row>
    <x:row r="137" ht="41" customHeight="1">
      <x:c r="A137" s="53" t="str">
        <x:v>K133</x:v>
      </x:c>
      <x:c r="B137" s="53" t="str">
        <x:v>R042</x:v>
      </x:c>
      <x:c r="C137" s="53" t="str">
        <x:v>5 其他特殊腹主动脉病</x:v>
      </x:c>
      <x:c r="D137" s="53" t="str">
        <x:v>有并发症腹主动脉PAU</x:v>
      </x:c>
      <x:c r="E137" s="53" t="str">
        <x:v>complicated PAU</x:v>
      </x:c>
      <x:c r="F137" s="53" t="str">
        <x:v>复杂模式</x:v>
      </x:c>
      <x:c r="G137" s="53" t="str">
        <x:v>病种候选词（需上下文判定）</x:v>
      </x:c>
      <x:c r="H137" s="53" t="str">
        <x:v>PAU + 增大/血肿/假性瘤/反复痛/栓塞/灌注障碍之一</x:v>
      </x:c>
      <x:c r="I137" s="53" t="str">
        <x:v>无并发症、稳定、已排除危险因素</x:v>
      </x:c>
      <x:c r="J137" s="53" t="str">
        <x:v>不得仅凭此词判模式；先全局急诊/复杂覆盖</x:v>
      </x:c>
    </x:row>
    <x:row r="138" ht="41" customHeight="1">
      <x:c r="A138" s="53" t="str">
        <x:v>K134</x:v>
      </x:c>
      <x:c r="B138" s="53" t="str">
        <x:v>R042</x:v>
      </x:c>
      <x:c r="C138" s="53" t="str">
        <x:v>5 其他特殊腹主动脉病</x:v>
      </x:c>
      <x:c r="D138" s="53" t="str">
        <x:v>有并发症腹主动脉PAU</x:v>
      </x:c>
      <x:c r="E138" s="53" t="str">
        <x:v>PAU with hematoma</x:v>
      </x:c>
      <x:c r="F138" s="53" t="str">
        <x:v>复杂模式</x:v>
      </x:c>
      <x:c r="G138" s="53" t="str">
        <x:v>病种候选词（需上下文判定）</x:v>
      </x:c>
      <x:c r="H138" s="53" t="str">
        <x:v>PAU + 增大/血肿/假性瘤/反复痛/栓塞/灌注障碍之一</x:v>
      </x:c>
      <x:c r="I138" s="53" t="str">
        <x:v>无并发症、稳定、已排除危险因素</x:v>
      </x:c>
      <x:c r="J138" s="53" t="str">
        <x:v>不得仅凭此词判模式；先全局急诊/复杂覆盖</x:v>
      </x:c>
    </x:row>
    <x:row r="139" ht="41" customHeight="1">
      <x:c r="A139" s="53" t="str">
        <x:v>K135</x:v>
      </x:c>
      <x:c r="B139" s="53" t="str">
        <x:v>R042</x:v>
      </x:c>
      <x:c r="C139" s="53" t="str">
        <x:v>5 其他特殊腹主动脉病</x:v>
      </x:c>
      <x:c r="D139" s="53" t="str">
        <x:v>有并发症腹主动脉PAU</x:v>
      </x:c>
      <x:c r="E139" s="53" t="str">
        <x:v>PAU malperfusion</x:v>
      </x:c>
      <x:c r="F139" s="53" t="str">
        <x:v>复杂模式</x:v>
      </x:c>
      <x:c r="G139" s="53" t="str">
        <x:v>病种候选词（需上下文判定）</x:v>
      </x:c>
      <x:c r="H139" s="53" t="str">
        <x:v>PAU + 增大/血肿/假性瘤/反复痛/栓塞/灌注障碍之一</x:v>
      </x:c>
      <x:c r="I139" s="53" t="str">
        <x:v>无并发症、稳定、已排除危险因素</x:v>
      </x:c>
      <x:c r="J139" s="53" t="str">
        <x:v>不得仅凭此词判模式；先全局急诊/复杂覆盖</x:v>
      </x:c>
    </x:row>
    <x:row r="140" ht="41" customHeight="1">
      <x:c r="A140" s="53" t="str">
        <x:v>K136</x:v>
      </x:c>
      <x:c r="B140" s="53" t="str">
        <x:v>R043</x:v>
      </x:c>
      <x:c r="C140" s="53" t="str">
        <x:v>5 其他特殊腹主动脉病</x:v>
      </x:c>
      <x:c r="D140" s="53" t="str">
        <x:v>稳定无并发症腹主动脉IMH</x:v>
      </x:c>
      <x:c r="E140" s="53" t="str">
        <x:v>腹主动脉壁内血肿</x:v>
      </x:c>
      <x:c r="F140" s="53" t="str">
        <x:v>复杂模式</x:v>
      </x:c>
      <x:c r="G140" s="53" t="str">
        <x:v>病种候选词（需上下文判定）</x:v>
      </x:c>
      <x:c r="H140" s="53" t="str">
        <x:v>腹主动脉IMH确诊 AND 无持续症状/增大/血肿/灌注障碍</x:v>
      </x:c>
      <x:c r="I140" s="53" t="str">
        <x:v>胸主动脉IMH；高危并发情况</x:v>
      </x:c>
      <x:c r="J140" s="53" t="str">
        <x:v>不得仅凭此词判模式；先全局急诊/复杂覆盖</x:v>
      </x:c>
    </x:row>
    <x:row r="141" ht="41" customHeight="1">
      <x:c r="A141" s="53" t="str">
        <x:v>K137</x:v>
      </x:c>
      <x:c r="B141" s="53" t="str">
        <x:v>R043</x:v>
      </x:c>
      <x:c r="C141" s="53" t="str">
        <x:v>5 其他特殊腹主动脉病</x:v>
      </x:c>
      <x:c r="D141" s="53" t="str">
        <x:v>稳定无并发症腹主动脉IMH</x:v>
      </x:c>
      <x:c r="E141" s="53" t="str">
        <x:v>abdominal IMH</x:v>
      </x:c>
      <x:c r="F141" s="53" t="str">
        <x:v>复杂模式</x:v>
      </x:c>
      <x:c r="G141" s="53" t="str">
        <x:v>病种候选词（需上下文判定）</x:v>
      </x:c>
      <x:c r="H141" s="53" t="str">
        <x:v>腹主动脉IMH确诊 AND 无持续症状/增大/血肿/灌注障碍</x:v>
      </x:c>
      <x:c r="I141" s="53" t="str">
        <x:v>胸主动脉IMH；高危并发情况</x:v>
      </x:c>
      <x:c r="J141" s="53" t="str">
        <x:v>不得仅凭此词判模式；先全局急诊/复杂覆盖</x:v>
      </x:c>
    </x:row>
    <x:row r="142" ht="41" customHeight="1">
      <x:c r="A142" s="53" t="str">
        <x:v>K138</x:v>
      </x:c>
      <x:c r="B142" s="53" t="str">
        <x:v>R043</x:v>
      </x:c>
      <x:c r="C142" s="53" t="str">
        <x:v>5 其他特殊腹主动脉病</x:v>
      </x:c>
      <x:c r="D142" s="53" t="str">
        <x:v>稳定无并发症腹主动脉IMH</x:v>
      </x:c>
      <x:c r="E142" s="53" t="str">
        <x:v>intramural hematoma</x:v>
      </x:c>
      <x:c r="F142" s="53" t="str">
        <x:v>复杂模式</x:v>
      </x:c>
      <x:c r="G142" s="53" t="str">
        <x:v>病种候选词（需上下文判定）</x:v>
      </x:c>
      <x:c r="H142" s="53" t="str">
        <x:v>腹主动脉IMH确诊 AND 无持续症状/增大/血肿/灌注障碍</x:v>
      </x:c>
      <x:c r="I142" s="53" t="str">
        <x:v>胸主动脉IMH；高危并发情况</x:v>
      </x:c>
      <x:c r="J142" s="53" t="str">
        <x:v>不得仅凭此词判模式；先全局急诊/复杂覆盖</x:v>
      </x:c>
    </x:row>
    <x:row r="143" ht="41" customHeight="1">
      <x:c r="A143" s="53" t="str">
        <x:v>K139</x:v>
      </x:c>
      <x:c r="B143" s="53" t="str">
        <x:v>R044</x:v>
      </x:c>
      <x:c r="C143" s="53" t="str">
        <x:v>5 其他特殊腹主动脉病</x:v>
      </x:c>
      <x:c r="D143" s="53" t="str">
        <x:v>有并发症腹主动脉IMH</x:v>
      </x:c>
      <x:c r="E143" s="53" t="str">
        <x:v>复杂壁内血肿</x:v>
      </x:c>
      <x:c r="F143" s="53" t="str">
        <x:v>复杂模式</x:v>
      </x:c>
      <x:c r="G143" s="53" t="str">
        <x:v>病种候选词（需上下文判定）</x:v>
      </x:c>
      <x:c r="H143" s="53" t="str">
        <x:v>腹主动脉IMH + 反复痛/扩张/周围血肿/灌注障碍</x:v>
      </x:c>
      <x:c r="I143" s="53" t="str">
        <x:v>无并发症稳定IMH</x:v>
      </x:c>
      <x:c r="J143" s="53" t="str">
        <x:v>不得仅凭此词判模式；先全局急诊/复杂覆盖</x:v>
      </x:c>
    </x:row>
    <x:row r="144" ht="41" customHeight="1">
      <x:c r="A144" s="53" t="str">
        <x:v>K140</x:v>
      </x:c>
      <x:c r="B144" s="53" t="str">
        <x:v>R044</x:v>
      </x:c>
      <x:c r="C144" s="53" t="str">
        <x:v>5 其他特殊腹主动脉病</x:v>
      </x:c>
      <x:c r="D144" s="53" t="str">
        <x:v>有并发症腹主动脉IMH</x:v>
      </x:c>
      <x:c r="E144" s="53" t="str">
        <x:v>complicated IMH</x:v>
      </x:c>
      <x:c r="F144" s="53" t="str">
        <x:v>复杂模式</x:v>
      </x:c>
      <x:c r="G144" s="53" t="str">
        <x:v>病种候选词（需上下文判定）</x:v>
      </x:c>
      <x:c r="H144" s="53" t="str">
        <x:v>腹主动脉IMH + 反复痛/扩张/周围血肿/灌注障碍</x:v>
      </x:c>
      <x:c r="I144" s="53" t="str">
        <x:v>无并发症稳定IMH</x:v>
      </x:c>
      <x:c r="J144" s="53" t="str">
        <x:v>不得仅凭此词判模式；先全局急诊/复杂覆盖</x:v>
      </x:c>
    </x:row>
    <x:row r="145" ht="41" customHeight="1">
      <x:c r="A145" s="53" t="str">
        <x:v>K141</x:v>
      </x:c>
      <x:c r="B145" s="53" t="str">
        <x:v>R044</x:v>
      </x:c>
      <x:c r="C145" s="53" t="str">
        <x:v>5 其他特殊腹主动脉病</x:v>
      </x:c>
      <x:c r="D145" s="53" t="str">
        <x:v>有并发症腹主动脉IMH</x:v>
      </x:c>
      <x:c r="E145" s="53" t="str">
        <x:v>IMH expansion</x:v>
      </x:c>
      <x:c r="F145" s="53" t="str">
        <x:v>复杂模式</x:v>
      </x:c>
      <x:c r="G145" s="53" t="str">
        <x:v>病种候选词（需上下文判定）</x:v>
      </x:c>
      <x:c r="H145" s="53" t="str">
        <x:v>腹主动脉IMH + 反复痛/扩张/周围血肿/灌注障碍</x:v>
      </x:c>
      <x:c r="I145" s="53" t="str">
        <x:v>无并发症稳定IMH</x:v>
      </x:c>
      <x:c r="J145" s="53" t="str">
        <x:v>不得仅凭此词判模式；先全局急诊/复杂覆盖</x:v>
      </x:c>
    </x:row>
    <x:row r="146" ht="41" customHeight="1">
      <x:c r="A146" s="53" t="str">
        <x:v>K142</x:v>
      </x:c>
      <x:c r="B146" s="53" t="str">
        <x:v>R045</x:v>
      </x:c>
      <x:c r="C146" s="53" t="str">
        <x:v>5 其他特殊腹主动脉病</x:v>
      </x:c>
      <x:c r="D146" s="53" t="str">
        <x:v>稳定孤立性腹主动脉夹层</x:v>
      </x:c>
      <x:c r="E146" s="53" t="str">
        <x:v>孤立性腹主动脉夹层</x:v>
      </x:c>
      <x:c r="F146" s="53" t="str">
        <x:v>复杂模式</x:v>
      </x:c>
      <x:c r="G146" s="53" t="str">
        <x:v>病种候选词（需上下文判定）</x:v>
      </x:c>
      <x:c r="H146" s="53" t="str">
        <x:v>腹主动脉局限夹层确诊 AND 目前无缺血/增大/反复痛</x:v>
      </x:c>
      <x:c r="I146" s="53" t="str">
        <x:v>胸主动脉夹层向下延伸并非严格IAAD</x:v>
      </x:c>
      <x:c r="J146" s="53" t="str">
        <x:v>不得仅凭此词判模式；先全局急诊/复杂覆盖</x:v>
      </x:c>
    </x:row>
    <x:row r="147" ht="41" customHeight="1">
      <x:c r="A147" s="53" t="str">
        <x:v>K143</x:v>
      </x:c>
      <x:c r="B147" s="53" t="str">
        <x:v>R045</x:v>
      </x:c>
      <x:c r="C147" s="53" t="str">
        <x:v>5 其他特殊腹主动脉病</x:v>
      </x:c>
      <x:c r="D147" s="53" t="str">
        <x:v>稳定孤立性腹主动脉夹层</x:v>
      </x:c>
      <x:c r="E147" s="53" t="str">
        <x:v>IAAD</x:v>
      </x:c>
      <x:c r="F147" s="53" t="str">
        <x:v>复杂模式</x:v>
      </x:c>
      <x:c r="G147" s="53" t="str">
        <x:v>病种候选词（需上下文判定）</x:v>
      </x:c>
      <x:c r="H147" s="53" t="str">
        <x:v>腹主动脉局限夹层确诊 AND 目前无缺血/增大/反复痛</x:v>
      </x:c>
      <x:c r="I147" s="53" t="str">
        <x:v>胸主动脉夹层向下延伸并非严格IAAD</x:v>
      </x:c>
      <x:c r="J147" s="53" t="str">
        <x:v>不得仅凭此词判模式；先全局急诊/复杂覆盖</x:v>
      </x:c>
    </x:row>
    <x:row r="148" ht="41" customHeight="1">
      <x:c r="A148" s="53" t="str">
        <x:v>K144</x:v>
      </x:c>
      <x:c r="B148" s="53" t="str">
        <x:v>R045</x:v>
      </x:c>
      <x:c r="C148" s="53" t="str">
        <x:v>5 其他特殊腹主动脉病</x:v>
      </x:c>
      <x:c r="D148" s="53" t="str">
        <x:v>稳定孤立性腹主动脉夹层</x:v>
      </x:c>
      <x:c r="E148" s="53" t="str">
        <x:v>isolated abdominal aortic dissection</x:v>
      </x:c>
      <x:c r="F148" s="53" t="str">
        <x:v>复杂模式</x:v>
      </x:c>
      <x:c r="G148" s="53" t="str">
        <x:v>病种候选词（需上下文判定）</x:v>
      </x:c>
      <x:c r="H148" s="53" t="str">
        <x:v>腹主动脉局限夹层确诊 AND 目前无缺血/增大/反复痛</x:v>
      </x:c>
      <x:c r="I148" s="53" t="str">
        <x:v>胸主动脉夹层向下延伸并非严格IAAD</x:v>
      </x:c>
      <x:c r="J148" s="53" t="str">
        <x:v>不得仅凭此词判模式；先全局急诊/复杂覆盖</x:v>
      </x:c>
    </x:row>
    <x:row r="149" ht="41" customHeight="1">
      <x:c r="A149" s="53" t="str">
        <x:v>K145</x:v>
      </x:c>
      <x:c r="B149" s="53" t="str">
        <x:v>R046</x:v>
      </x:c>
      <x:c r="C149" s="53" t="str">
        <x:v>5 其他特殊腹主动脉病</x:v>
      </x:c>
      <x:c r="D149" s="53" t="str">
        <x:v>有并发症腹主动脉夹层</x:v>
      </x:c>
      <x:c r="E149" s="53" t="str">
        <x:v>复杂IAAD</x:v>
      </x:c>
      <x:c r="F149" s="53" t="str">
        <x:v>复杂模式</x:v>
      </x:c>
      <x:c r="G149" s="53" t="str">
        <x:v>病种候选词（需上下文判定）</x:v>
      </x:c>
      <x:c r="H149" s="53" t="str">
        <x:v>IAAD+持续症状/扩张/周围血肿/灌注不良之一</x:v>
      </x:c>
      <x:c r="I149" s="53" t="str">
        <x:v>无并发症且稳定的IAAD</x:v>
      </x:c>
      <x:c r="J149" s="53" t="str">
        <x:v>不得仅凭此词判模式；先全局急诊/复杂覆盖</x:v>
      </x:c>
    </x:row>
    <x:row r="150" ht="41" customHeight="1">
      <x:c r="A150" s="53" t="str">
        <x:v>K146</x:v>
      </x:c>
      <x:c r="B150" s="53" t="str">
        <x:v>R046</x:v>
      </x:c>
      <x:c r="C150" s="53" t="str">
        <x:v>5 其他特殊腹主动脉病</x:v>
      </x:c>
      <x:c r="D150" s="53" t="str">
        <x:v>有并发症腹主动脉夹层</x:v>
      </x:c>
      <x:c r="E150" s="53" t="str">
        <x:v>IAAD malperfusion</x:v>
      </x:c>
      <x:c r="F150" s="53" t="str">
        <x:v>复杂模式</x:v>
      </x:c>
      <x:c r="G150" s="53" t="str">
        <x:v>病种候选词（需上下文判定）</x:v>
      </x:c>
      <x:c r="H150" s="53" t="str">
        <x:v>IAAD+持续症状/扩张/周围血肿/灌注不良之一</x:v>
      </x:c>
      <x:c r="I150" s="53" t="str">
        <x:v>无并发症且稳定的IAAD</x:v>
      </x:c>
      <x:c r="J150" s="53" t="str">
        <x:v>不得仅凭此词判模式；先全局急诊/复杂覆盖</x:v>
      </x:c>
    </x:row>
    <x:row r="151" ht="41" customHeight="1">
      <x:c r="A151" s="53" t="str">
        <x:v>K147</x:v>
      </x:c>
      <x:c r="B151" s="53" t="str">
        <x:v>R046</x:v>
      </x:c>
      <x:c r="C151" s="53" t="str">
        <x:v>5 其他特殊腹主动脉病</x:v>
      </x:c>
      <x:c r="D151" s="53" t="str">
        <x:v>有并发症腹主动脉夹层</x:v>
      </x:c>
      <x:c r="E151" s="53" t="str">
        <x:v>腹主动脉夹层器官缺血</x:v>
      </x:c>
      <x:c r="F151" s="53" t="str">
        <x:v>复杂模式</x:v>
      </x:c>
      <x:c r="G151" s="53" t="str">
        <x:v>病种候选词（需上下文判定）</x:v>
      </x:c>
      <x:c r="H151" s="53" t="str">
        <x:v>IAAD+持续症状/扩张/周围血肿/灌注不良之一</x:v>
      </x:c>
      <x:c r="I151" s="53" t="str">
        <x:v>无并发症且稳定的IAAD</x:v>
      </x:c>
      <x:c r="J151" s="53" t="str">
        <x:v>不得仅凭此词判模式；先全局急诊/复杂覆盖</x:v>
      </x:c>
    </x:row>
    <x:row r="152" ht="41" customHeight="1">
      <x:c r="A152" s="53" t="str">
        <x:v>K148</x:v>
      </x:c>
      <x:c r="B152" s="53" t="str">
        <x:v>R047</x:v>
      </x:c>
      <x:c r="C152" s="53" t="str">
        <x:v>5 其他特殊腹主动脉病</x:v>
      </x:c>
      <x:c r="D152" s="53" t="str">
        <x:v>非感染性腹主动脉假性动脉瘤</x:v>
      </x:c>
      <x:c r="E152" s="53" t="str">
        <x:v>腹主动脉假性动脉瘤</x:v>
      </x:c>
      <x:c r="F152" s="53" t="str">
        <x:v>复杂模式</x:v>
      </x:c>
      <x:c r="G152" s="53" t="str">
        <x:v>病种候选词（需上下文判定）</x:v>
      </x:c>
      <x:c r="H152" s="53" t="str">
        <x:v>确认假性瘤存在 AND 非主动脉术后吻合口（如是转术后分支）</x:v>
      </x:c>
      <x:c r="I152" s="53" t="str">
        <x:v>感染性假性瘤转感染；术后吻合口假性瘤转术后</x:v>
      </x:c>
      <x:c r="J152" s="53" t="str">
        <x:v>不得仅凭此词判模式；先全局急诊/复杂覆盖</x:v>
      </x:c>
    </x:row>
    <x:row r="153" ht="41" customHeight="1">
      <x:c r="A153" s="53" t="str">
        <x:v>K149</x:v>
      </x:c>
      <x:c r="B153" s="53" t="str">
        <x:v>R047</x:v>
      </x:c>
      <x:c r="C153" s="53" t="str">
        <x:v>5 其他特殊腹主动脉病</x:v>
      </x:c>
      <x:c r="D153" s="53" t="str">
        <x:v>非感染性腹主动脉假性动脉瘤</x:v>
      </x:c>
      <x:c r="E153" s="53" t="str">
        <x:v>aortic pseudoaneurysm</x:v>
      </x:c>
      <x:c r="F153" s="53" t="str">
        <x:v>复杂模式</x:v>
      </x:c>
      <x:c r="G153" s="53" t="str">
        <x:v>病种候选词（需上下文判定）</x:v>
      </x:c>
      <x:c r="H153" s="53" t="str">
        <x:v>确认假性瘤存在 AND 非主动脉术后吻合口（如是转术后分支）</x:v>
      </x:c>
      <x:c r="I153" s="53" t="str">
        <x:v>感染性假性瘤转感染；术后吻合口假性瘤转术后</x:v>
      </x:c>
      <x:c r="J153" s="53" t="str">
        <x:v>不得仅凭此词判模式；先全局急诊/复杂覆盖</x:v>
      </x:c>
    </x:row>
    <x:row r="154" ht="41" customHeight="1">
      <x:c r="A154" s="53" t="str">
        <x:v>K150</x:v>
      </x:c>
      <x:c r="B154" s="53" t="str">
        <x:v>R047</x:v>
      </x:c>
      <x:c r="C154" s="53" t="str">
        <x:v>5 其他特殊腹主动脉病</x:v>
      </x:c>
      <x:c r="D154" s="53" t="str">
        <x:v>非感染性腹主动脉假性动脉瘤</x:v>
      </x:c>
      <x:c r="E154" s="53" t="str">
        <x:v>false aortic aneurysm</x:v>
      </x:c>
      <x:c r="F154" s="53" t="str">
        <x:v>复杂模式</x:v>
      </x:c>
      <x:c r="G154" s="53" t="str">
        <x:v>病种候选词（需上下文判定）</x:v>
      </x:c>
      <x:c r="H154" s="53" t="str">
        <x:v>确认假性瘤存在 AND 非主动脉术后吻合口（如是转术后分支）</x:v>
      </x:c>
      <x:c r="I154" s="53" t="str">
        <x:v>感染性假性瘤转感染；术后吻合口假性瘤转术后</x:v>
      </x:c>
      <x:c r="J154" s="53" t="str">
        <x:v>不得仅凭此词判模式；先全局急诊/复杂覆盖</x:v>
      </x:c>
    </x:row>
    <x:row r="155" ht="41" customHeight="1">
      <x:c r="A155" s="53" t="str">
        <x:v>K151</x:v>
      </x:c>
      <x:c r="B155" s="53" t="str">
        <x:v>R048</x:v>
      </x:c>
      <x:c r="C155" s="53" t="str">
        <x:v>5 其他特殊腹主动脉病</x:v>
      </x:c>
      <x:c r="D155" s="53" t="str">
        <x:v>原发性主动脉肠瘘</x:v>
      </x:c>
      <x:c r="E155" s="53" t="str">
        <x:v>原发性主动脉肠瘘</x:v>
      </x:c>
      <x:c r="F155" s="53" t="str">
        <x:v>急诊模式</x:v>
      </x:c>
      <x:c r="G155" s="53" t="str">
        <x:v>病种候选词（需上下文判定）</x:v>
      </x:c>
      <x:c r="H155" s="53" t="str">
        <x:v>无主动脉修复史 AND 瘘证据或高度临床怀疑</x:v>
      </x:c>
      <x:c r="I155" s="53" t="str">
        <x:v>有主动脉移植物时优先继发性肠瘘</x:v>
      </x:c>
      <x:c r="J155" s="53" t="str">
        <x:v>不得仅凭此词判模式；先全局急诊/复杂覆盖</x:v>
      </x:c>
    </x:row>
    <x:row r="156" ht="41" customHeight="1">
      <x:c r="A156" s="53" t="str">
        <x:v>K152</x:v>
      </x:c>
      <x:c r="B156" s="53" t="str">
        <x:v>R048</x:v>
      </x:c>
      <x:c r="C156" s="53" t="str">
        <x:v>5 其他特殊腹主动脉病</x:v>
      </x:c>
      <x:c r="D156" s="53" t="str">
        <x:v>原发性主动脉肠瘘</x:v>
      </x:c>
      <x:c r="E156" s="53" t="str">
        <x:v>primary aortoenteric fistula</x:v>
      </x:c>
      <x:c r="F156" s="53" t="str">
        <x:v>急诊模式</x:v>
      </x:c>
      <x:c r="G156" s="53" t="str">
        <x:v>病种候选词（需上下文判定）</x:v>
      </x:c>
      <x:c r="H156" s="53" t="str">
        <x:v>无主动脉修复史 AND 瘘证据或高度临床怀疑</x:v>
      </x:c>
      <x:c r="I156" s="53" t="str">
        <x:v>有主动脉移植物时优先继发性肠瘘</x:v>
      </x:c>
      <x:c r="J156" s="53" t="str">
        <x:v>不得仅凭此词判模式；先全局急诊/复杂覆盖</x:v>
      </x:c>
    </x:row>
    <x:row r="157" ht="41" customHeight="1">
      <x:c r="A157" s="53" t="str">
        <x:v>K153</x:v>
      </x:c>
      <x:c r="B157" s="53" t="str">
        <x:v>R048</x:v>
      </x:c>
      <x:c r="C157" s="53" t="str">
        <x:v>5 其他特殊腹主动脉病</x:v>
      </x:c>
      <x:c r="D157" s="53" t="str">
        <x:v>原发性主动脉肠瘘</x:v>
      </x:c>
      <x:c r="E157" s="53" t="str">
        <x:v>原生主动脉肠瘘</x:v>
      </x:c>
      <x:c r="F157" s="53" t="str">
        <x:v>急诊模式</x:v>
      </x:c>
      <x:c r="G157" s="53" t="str">
        <x:v>病种候选词（需上下文判定）</x:v>
      </x:c>
      <x:c r="H157" s="53" t="str">
        <x:v>无主动脉修复史 AND 瘘证据或高度临床怀疑</x:v>
      </x:c>
      <x:c r="I157" s="53" t="str">
        <x:v>有主动脉移植物时优先继发性肠瘘</x:v>
      </x:c>
      <x:c r="J157" s="53" t="str">
        <x:v>不得仅凭此词判模式；先全局急诊/复杂覆盖</x:v>
      </x:c>
    </x:row>
    <x:row r="158" ht="41" customHeight="1">
      <x:c r="A158" s="53" t="str">
        <x:v>K154</x:v>
      </x:c>
      <x:c r="B158" s="53" t="str">
        <x:v>R049</x:v>
      </x:c>
      <x:c r="C158" s="53" t="str">
        <x:v>5 其他特殊腹主动脉病</x:v>
      </x:c>
      <x:c r="D158" s="53" t="str">
        <x:v>主动脉下腔静脉瘘</x:v>
      </x:c>
      <x:c r="E158" s="53" t="str">
        <x:v>主动脉下腔静脉瘘</x:v>
      </x:c>
      <x:c r="F158" s="53" t="str">
        <x:v>急诊模式</x:v>
      </x:c>
      <x:c r="G158" s="53" t="str">
        <x:v>病种候选词（需上下文判定）</x:v>
      </x:c>
      <x:c r="H158" s="53" t="str">
        <x:v>影像/临床确认或高度怀疑主动脉-下腔静脉异常交通</x:v>
      </x:c>
      <x:c r="I158" s="53" t="str">
        <x:v>非主动脉来源动静脉瘘</x:v>
      </x:c>
      <x:c r="J158" s="53" t="str">
        <x:v>不得仅凭此词判模式；先全局急诊/复杂覆盖</x:v>
      </x:c>
    </x:row>
    <x:row r="159" ht="41" customHeight="1">
      <x:c r="A159" s="53" t="str">
        <x:v>K155</x:v>
      </x:c>
      <x:c r="B159" s="53" t="str">
        <x:v>R049</x:v>
      </x:c>
      <x:c r="C159" s="53" t="str">
        <x:v>5 其他特殊腹主动脉病</x:v>
      </x:c>
      <x:c r="D159" s="53" t="str">
        <x:v>主动脉下腔静脉瘘</x:v>
      </x:c>
      <x:c r="E159" s="53" t="str">
        <x:v>aortocaval fistula</x:v>
      </x:c>
      <x:c r="F159" s="53" t="str">
        <x:v>急诊模式</x:v>
      </x:c>
      <x:c r="G159" s="53" t="str">
        <x:v>病种候选词（需上下文判定）</x:v>
      </x:c>
      <x:c r="H159" s="53" t="str">
        <x:v>影像/临床确认或高度怀疑主动脉-下腔静脉异常交通</x:v>
      </x:c>
      <x:c r="I159" s="53" t="str">
        <x:v>非主动脉来源动静脉瘘</x:v>
      </x:c>
      <x:c r="J159" s="53" t="str">
        <x:v>不得仅凭此词判模式；先全局急诊/复杂覆盖</x:v>
      </x:c>
    </x:row>
    <x:row r="160" ht="41" customHeight="1">
      <x:c r="A160" s="53" t="str">
        <x:v>K156</x:v>
      </x:c>
      <x:c r="B160" s="53" t="str">
        <x:v>R049</x:v>
      </x:c>
      <x:c r="C160" s="53" t="str">
        <x:v>5 其他特殊腹主动脉病</x:v>
      </x:c>
      <x:c r="D160" s="53" t="str">
        <x:v>主动脉下腔静脉瘘</x:v>
      </x:c>
      <x:c r="E160" s="53" t="str">
        <x:v>ACF</x:v>
      </x:c>
      <x:c r="F160" s="53" t="str">
        <x:v>急诊模式</x:v>
      </x:c>
      <x:c r="G160" s="53" t="str">
        <x:v>病种候选词（需上下文判定）</x:v>
      </x:c>
      <x:c r="H160" s="53" t="str">
        <x:v>影像/临床确认或高度怀疑主动脉-下腔静脉异常交通</x:v>
      </x:c>
      <x:c r="I160" s="53" t="str">
        <x:v>非主动脉来源动静脉瘘</x:v>
      </x:c>
      <x:c r="J160" s="53" t="str">
        <x:v>不得仅凭此词判模式；先全局急诊/复杂覆盖</x:v>
      </x:c>
    </x:row>
    <x:row r="161" ht="41" customHeight="1">
      <x:c r="A161" s="53" t="str">
        <x:v>K157</x:v>
      </x:c>
      <x:c r="B161" s="53" t="str">
        <x:v>R050</x:v>
      </x:c>
      <x:c r="C161" s="53" t="str">
        <x:v>5 其他特殊腹主动脉病</x:v>
      </x:c>
      <x:c r="D161" s="53" t="str">
        <x:v>遗传/结缔组织病相关AAA</x:v>
      </x:c>
      <x:c r="E161" s="53" t="str">
        <x:v>Marfan AAA</x:v>
      </x:c>
      <x:c r="F161" s="53" t="str">
        <x:v>复杂模式</x:v>
      </x:c>
      <x:c r="G161" s="53" t="str">
        <x:v>病种候选词（需上下文判定）</x:v>
      </x:c>
      <x:c r="H161" s="53" t="str">
        <x:v>AAA AND 确认相关遗传综合征/结缔组织病</x:v>
      </x:c>
      <x:c r="I161" s="53" t="str">
        <x:v>仅家族史未确认遗传综合征</x:v>
      </x:c>
      <x:c r="J161" s="53" t="str">
        <x:v>不得仅凭此词判模式；先全局急诊/复杂覆盖</x:v>
      </x:c>
    </x:row>
    <x:row r="162" ht="41" customHeight="1">
      <x:c r="A162" s="53" t="str">
        <x:v>K158</x:v>
      </x:c>
      <x:c r="B162" s="53" t="str">
        <x:v>R050</x:v>
      </x:c>
      <x:c r="C162" s="53" t="str">
        <x:v>5 其他特殊腹主动脉病</x:v>
      </x:c>
      <x:c r="D162" s="53" t="str">
        <x:v>遗传/结缔组织病相关AAA</x:v>
      </x:c>
      <x:c r="E162" s="53" t="str">
        <x:v>Loeys-Dietz AAA</x:v>
      </x:c>
      <x:c r="F162" s="53" t="str">
        <x:v>复杂模式</x:v>
      </x:c>
      <x:c r="G162" s="53" t="str">
        <x:v>病种候选词（需上下文判定）</x:v>
      </x:c>
      <x:c r="H162" s="53" t="str">
        <x:v>AAA AND 确认相关遗传综合征/结缔组织病</x:v>
      </x:c>
      <x:c r="I162" s="53" t="str">
        <x:v>仅家族史未确认遗传综合征</x:v>
      </x:c>
      <x:c r="J162" s="53" t="str">
        <x:v>不得仅凭此词判模式；先全局急诊/复杂覆盖</x:v>
      </x:c>
    </x:row>
    <x:row r="163" ht="41" customHeight="1">
      <x:c r="A163" s="53" t="str">
        <x:v>K159</x:v>
      </x:c>
      <x:c r="B163" s="53" t="str">
        <x:v>R050</x:v>
      </x:c>
      <x:c r="C163" s="53" t="str">
        <x:v>5 其他特殊腹主动脉病</x:v>
      </x:c>
      <x:c r="D163" s="53" t="str">
        <x:v>遗传/结缔组织病相关AAA</x:v>
      </x:c>
      <x:c r="E163" s="53" t="str">
        <x:v>vascular Ehlers-Danlos AAA</x:v>
      </x:c>
      <x:c r="F163" s="53" t="str">
        <x:v>复杂模式</x:v>
      </x:c>
      <x:c r="G163" s="53" t="str">
        <x:v>病种候选词（需上下文判定）</x:v>
      </x:c>
      <x:c r="H163" s="53" t="str">
        <x:v>AAA AND 确认相关遗传综合征/结缔组织病</x:v>
      </x:c>
      <x:c r="I163" s="53" t="str">
        <x:v>仅家族史未确认遗传综合征</x:v>
      </x:c>
      <x:c r="J163" s="53" t="str">
        <x:v>不得仅凭此词判模式；先全局急诊/复杂覆盖</x:v>
      </x:c>
    </x:row>
    <x:row r="164" ht="41" customHeight="1">
      <x:c r="A164" s="53" t="str">
        <x:v>K160</x:v>
      </x:c>
      <x:c r="B164" s="53" t="str">
        <x:v>R050</x:v>
      </x:c>
      <x:c r="C164" s="53" t="str">
        <x:v>5 其他特殊腹主动脉病</x:v>
      </x:c>
      <x:c r="D164" s="53" t="str">
        <x:v>遗传/结缔组织病相关AAA</x:v>
      </x:c>
      <x:c r="E164" s="53" t="str">
        <x:v>遗传性腹主动脉瘤</x:v>
      </x:c>
      <x:c r="F164" s="53" t="str">
        <x:v>复杂模式</x:v>
      </x:c>
      <x:c r="G164" s="53" t="str">
        <x:v>病种候选词（需上下文判定）</x:v>
      </x:c>
      <x:c r="H164" s="53" t="str">
        <x:v>AAA AND 确认相关遗传综合征/结缔组织病</x:v>
      </x:c>
      <x:c r="I164" s="53" t="str">
        <x:v>仅家族史未确认遗传综合征</x:v>
      </x:c>
      <x:c r="J164" s="53" t="str">
        <x:v>不得仅凭此词判模式；先全局急诊/复杂覆盖</x:v>
      </x:c>
    </x:row>
    <x:row r="165" ht="41" customHeight="1">
      <x:c r="A165" s="53" t="str">
        <x:v>K161</x:v>
      </x:c>
      <x:c r="B165" s="53" t="str">
        <x:v>R051</x:v>
      </x:c>
      <x:c r="C165" s="53" t="str">
        <x:v>5 其他特殊腹主动脉病</x:v>
      </x:c>
      <x:c r="D165" s="53" t="str">
        <x:v>AAA合并恶性肿瘤</x:v>
      </x:c>
      <x:c r="E165" s="53" t="str">
        <x:v>AAA合并恶性肿瘤</x:v>
      </x:c>
      <x:c r="F165" s="53" t="str">
        <x:v>复杂模式</x:v>
      </x:c>
      <x:c r="G165" s="53" t="str">
        <x:v>病种候选词（需上下文判定）</x:v>
      </x:c>
      <x:c r="H165" s="53" t="str">
        <x:v>AAA + 活动性/已确诊恶性肿瘤，影响治疗优先级</x:v>
      </x:c>
      <x:c r="I165" s="53" t="str">
        <x:v>既往癌症已治愈且不影响当前评估时需个体化</x:v>
      </x:c>
      <x:c r="J165" s="53" t="str">
        <x:v>不得仅凭此词判模式；先全局急诊/复杂覆盖</x:v>
      </x:c>
    </x:row>
    <x:row r="166" ht="41" customHeight="1">
      <x:c r="A166" s="53" t="str">
        <x:v>K162</x:v>
      </x:c>
      <x:c r="B166" s="53" t="str">
        <x:v>R051</x:v>
      </x:c>
      <x:c r="C166" s="53" t="str">
        <x:v>5 其他特殊腹主动脉病</x:v>
      </x:c>
      <x:c r="D166" s="53" t="str">
        <x:v>AAA合并恶性肿瘤</x:v>
      </x:c>
      <x:c r="E166" s="53" t="str">
        <x:v>AAA with malignancy</x:v>
      </x:c>
      <x:c r="F166" s="53" t="str">
        <x:v>复杂模式</x:v>
      </x:c>
      <x:c r="G166" s="53" t="str">
        <x:v>病种候选词（需上下文判定）</x:v>
      </x:c>
      <x:c r="H166" s="53" t="str">
        <x:v>AAA + 活动性/已确诊恶性肿瘤，影响治疗优先级</x:v>
      </x:c>
      <x:c r="I166" s="53" t="str">
        <x:v>既往癌症已治愈且不影响当前评估时需个体化</x:v>
      </x:c>
      <x:c r="J166" s="53" t="str">
        <x:v>不得仅凭此词判模式；先全局急诊/复杂覆盖</x:v>
      </x:c>
    </x:row>
    <x:row r="167" ht="41" customHeight="1">
      <x:c r="A167" s="53" t="str">
        <x:v>K163</x:v>
      </x:c>
      <x:c r="B167" s="53" t="str">
        <x:v>R051</x:v>
      </x:c>
      <x:c r="C167" s="53" t="str">
        <x:v>5 其他特殊腹主动脉病</x:v>
      </x:c>
      <x:c r="D167" s="53" t="str">
        <x:v>AAA合并恶性肿瘤</x:v>
      </x:c>
      <x:c r="E167" s="53" t="str">
        <x:v>AAA伴癌症</x:v>
      </x:c>
      <x:c r="F167" s="53" t="str">
        <x:v>复杂模式</x:v>
      </x:c>
      <x:c r="G167" s="53" t="str">
        <x:v>病种候选词（需上下文判定）</x:v>
      </x:c>
      <x:c r="H167" s="53" t="str">
        <x:v>AAA + 活动性/已确诊恶性肿瘤，影响治疗优先级</x:v>
      </x:c>
      <x:c r="I167" s="53" t="str">
        <x:v>既往癌症已治愈且不影响当前评估时需个体化</x:v>
      </x:c>
      <x:c r="J167" s="53" t="str">
        <x:v>不得仅凭此词判模式；先全局急诊/复杂覆盖</x:v>
      </x:c>
    </x:row>
    <x:row r="168" ht="41" customHeight="1">
      <x:c r="A168" s="53" t="str">
        <x:v>K164</x:v>
      </x:c>
      <x:c r="B168" s="53" t="str">
        <x:v>R052</x:v>
      </x:c>
      <x:c r="C168" s="53" t="str">
        <x:v>6 髂动脉瘤</x:v>
      </x:c>
      <x:c r="D168" s="53" t="str">
        <x:v>孤立性髂总动脉瘤&lt;40mm</x:v>
      </x:c>
      <x:c r="E168" s="53" t="str">
        <x:v>孤立性髂总动脉瘤</x:v>
      </x:c>
      <x:c r="F168" s="53" t="str">
        <x:v>指南模式</x:v>
      </x:c>
      <x:c r="G168" s="53" t="str">
        <x:v>病种候选词（需上下文判定）</x:v>
      </x:c>
      <x:c r="H168" s="53" t="str">
        <x:v>当前无症状 AND 髂总动脉瘤确诊 AND 最大直径&lt;40mm AND 无其他复杂病变</x:v>
      </x:c>
      <x:c r="I168" s="53" t="str">
        <x:v>AAA-髂联合病变或感染/破裂者转复合路由</x:v>
      </x:c>
      <x:c r="J168" s="53" t="str">
        <x:v>不得仅凭此词判模式；先全局急诊/复杂覆盖</x:v>
      </x:c>
    </x:row>
    <x:row r="169" ht="41" customHeight="1">
      <x:c r="A169" s="53" t="str">
        <x:v>K165</x:v>
      </x:c>
      <x:c r="B169" s="53" t="str">
        <x:v>R052</x:v>
      </x:c>
      <x:c r="C169" s="53" t="str">
        <x:v>6 髂动脉瘤</x:v>
      </x:c>
      <x:c r="D169" s="53" t="str">
        <x:v>孤立性髂总动脉瘤&lt;40mm</x:v>
      </x:c>
      <x:c r="E169" s="53" t="str">
        <x:v>CIAA</x:v>
      </x:c>
      <x:c r="F169" s="53" t="str">
        <x:v>指南模式</x:v>
      </x:c>
      <x:c r="G169" s="53" t="str">
        <x:v>病种候选词（需上下文判定）</x:v>
      </x:c>
      <x:c r="H169" s="53" t="str">
        <x:v>当前无症状 AND 髂总动脉瘤确诊 AND 最大直径&lt;40mm AND 无其他复杂病变</x:v>
      </x:c>
      <x:c r="I169" s="53" t="str">
        <x:v>AAA-髂联合病变或感染/破裂者转复合路由</x:v>
      </x:c>
      <x:c r="J169" s="53" t="str">
        <x:v>不得仅凭此词判模式；先全局急诊/复杂覆盖</x:v>
      </x:c>
    </x:row>
    <x:row r="170" ht="41" customHeight="1">
      <x:c r="A170" s="53" t="str">
        <x:v>K166</x:v>
      </x:c>
      <x:c r="B170" s="53" t="str">
        <x:v>R052</x:v>
      </x:c>
      <x:c r="C170" s="53" t="str">
        <x:v>6 髂动脉瘤</x:v>
      </x:c>
      <x:c r="D170" s="53" t="str">
        <x:v>孤立性髂总动脉瘤&lt;40mm</x:v>
      </x:c>
      <x:c r="E170" s="53" t="str">
        <x:v>common iliac artery aneurysm</x:v>
      </x:c>
      <x:c r="F170" s="53" t="str">
        <x:v>指南模式</x:v>
      </x:c>
      <x:c r="G170" s="53" t="str">
        <x:v>病种候选词（需上下文判定）</x:v>
      </x:c>
      <x:c r="H170" s="53" t="str">
        <x:v>当前无症状 AND 髂总动脉瘤确诊 AND 最大直径&lt;40mm AND 无其他复杂病变</x:v>
      </x:c>
      <x:c r="I170" s="53" t="str">
        <x:v>AAA-髂联合病变或感染/破裂者转复合路由</x:v>
      </x:c>
      <x:c r="J170" s="53" t="str">
        <x:v>不得仅凭此词判模式；先全局急诊/复杂覆盖</x:v>
      </x:c>
    </x:row>
    <x:row r="171" ht="41" customHeight="1">
      <x:c r="A171" s="53" t="str">
        <x:v>K167</x:v>
      </x:c>
      <x:c r="B171" s="53" t="str">
        <x:v>R053</x:v>
      </x:c>
      <x:c r="C171" s="53" t="str">
        <x:v>6 髂动脉瘤</x:v>
      </x:c>
      <x:c r="D171" s="53" t="str">
        <x:v>孤立性髂总动脉瘤≥40mm</x:v>
      </x:c>
      <x:c r="E171" s="53" t="str">
        <x:v>CIAA ≥40 mm</x:v>
      </x:c>
      <x:c r="F171" s="53" t="str">
        <x:v>指南模式</x:v>
      </x:c>
      <x:c r="G171" s="53" t="str">
        <x:v>病种候选词（需上下文判定）</x:v>
      </x:c>
      <x:c r="H171" s="53" t="str">
        <x:v>髂总动脉瘤且无症状，最大直径≥40mm</x:v>
      </x:c>
      <x:c r="I171" s="53" t="str">
        <x:v>未测直径或复杂型/合并AAA</x:v>
      </x:c>
      <x:c r="J171" s="53" t="str">
        <x:v>不得仅凭此词判模式；先全局急诊/复杂覆盖</x:v>
      </x:c>
    </x:row>
    <x:row r="172" ht="41" customHeight="1">
      <x:c r="A172" s="53" t="str">
        <x:v>K168</x:v>
      </x:c>
      <x:c r="B172" s="53" t="str">
        <x:v>R053</x:v>
      </x:c>
      <x:c r="C172" s="53" t="str">
        <x:v>6 髂动脉瘤</x:v>
      </x:c>
      <x:c r="D172" s="53" t="str">
        <x:v>孤立性髂总动脉瘤≥40mm</x:v>
      </x:c>
      <x:c r="E172" s="53" t="str">
        <x:v>髂总动脉瘤达4cm</x:v>
      </x:c>
      <x:c r="F172" s="53" t="str">
        <x:v>指南模式</x:v>
      </x:c>
      <x:c r="G172" s="53" t="str">
        <x:v>病种候选词（需上下文判定）</x:v>
      </x:c>
      <x:c r="H172" s="53" t="str">
        <x:v>髂总动脉瘤且无症状，最大直径≥40mm</x:v>
      </x:c>
      <x:c r="I172" s="53" t="str">
        <x:v>未测直径或复杂型/合并AAA</x:v>
      </x:c>
      <x:c r="J172" s="53" t="str">
        <x:v>不得仅凭此词判模式；先全局急诊/复杂覆盖</x:v>
      </x:c>
    </x:row>
    <x:row r="173" ht="41" customHeight="1">
      <x:c r="A173" s="53" t="str">
        <x:v>K169</x:v>
      </x:c>
      <x:c r="B173" s="53" t="str">
        <x:v>R053</x:v>
      </x:c>
      <x:c r="C173" s="53" t="str">
        <x:v>6 髂动脉瘤</x:v>
      </x:c>
      <x:c r="D173" s="53" t="str">
        <x:v>孤立性髂总动脉瘤≥40mm</x:v>
      </x:c>
      <x:c r="E173" s="53" t="str">
        <x:v>iliac aneurysm 40mm</x:v>
      </x:c>
      <x:c r="F173" s="53" t="str">
        <x:v>指南模式</x:v>
      </x:c>
      <x:c r="G173" s="53" t="str">
        <x:v>病种候选词（需上下文判定）</x:v>
      </x:c>
      <x:c r="H173" s="53" t="str">
        <x:v>髂总动脉瘤且无症状，最大直径≥40mm</x:v>
      </x:c>
      <x:c r="I173" s="53" t="str">
        <x:v>未测直径或复杂型/合并AAA</x:v>
      </x:c>
      <x:c r="J173" s="53" t="str">
        <x:v>不得仅凭此词判模式；先全局急诊/复杂覆盖</x:v>
      </x:c>
    </x:row>
    <x:row r="174" ht="41" customHeight="1">
      <x:c r="A174" s="53" t="str">
        <x:v>K170</x:v>
      </x:c>
      <x:c r="B174" s="53" t="str">
        <x:v>R054</x:v>
      </x:c>
      <x:c r="C174" s="53" t="str">
        <x:v>6 髂动脉瘤</x:v>
      </x:c>
      <x:c r="D174" s="53" t="str">
        <x:v>孤立性髂内动脉瘤</x:v>
      </x:c>
      <x:c r="E174" s="53" t="str">
        <x:v>髂内动脉瘤</x:v>
      </x:c>
      <x:c r="F174" s="53" t="str">
        <x:v>复杂模式</x:v>
      </x:c>
      <x:c r="G174" s="53" t="str">
        <x:v>病种候选词（需上下文判定）</x:v>
      </x:c>
      <x:c r="H174" s="53" t="str">
        <x:v>髂内动脉瘤确诊</x:v>
      </x:c>
      <x:c r="I174" s="53" t="str">
        <x:v>仅提及髂内动脉解剖未发现瘤</x:v>
      </x:c>
      <x:c r="J174" s="53" t="str">
        <x:v>不得仅凭此词判模式；先全局急诊/复杂覆盖</x:v>
      </x:c>
    </x:row>
    <x:row r="175" ht="41" customHeight="1">
      <x:c r="A175" s="53" t="str">
        <x:v>K171</x:v>
      </x:c>
      <x:c r="B175" s="53" t="str">
        <x:v>R054</x:v>
      </x:c>
      <x:c r="C175" s="53" t="str">
        <x:v>6 髂动脉瘤</x:v>
      </x:c>
      <x:c r="D175" s="53" t="str">
        <x:v>孤立性髂内动脉瘤</x:v>
      </x:c>
      <x:c r="E175" s="53" t="str">
        <x:v>hypogastric aneurysm</x:v>
      </x:c>
      <x:c r="F175" s="53" t="str">
        <x:v>复杂模式</x:v>
      </x:c>
      <x:c r="G175" s="53" t="str">
        <x:v>病种候选词（需上下文判定）</x:v>
      </x:c>
      <x:c r="H175" s="53" t="str">
        <x:v>髂内动脉瘤确诊</x:v>
      </x:c>
      <x:c r="I175" s="53" t="str">
        <x:v>仅提及髂内动脉解剖未发现瘤</x:v>
      </x:c>
      <x:c r="J175" s="53" t="str">
        <x:v>不得仅凭此词判模式；先全局急诊/复杂覆盖</x:v>
      </x:c>
    </x:row>
    <x:row r="176" ht="41" customHeight="1">
      <x:c r="A176" s="53" t="str">
        <x:v>K172</x:v>
      </x:c>
      <x:c r="B176" s="53" t="str">
        <x:v>R054</x:v>
      </x:c>
      <x:c r="C176" s="53" t="str">
        <x:v>6 髂动脉瘤</x:v>
      </x:c>
      <x:c r="D176" s="53" t="str">
        <x:v>孤立性髂内动脉瘤</x:v>
      </x:c>
      <x:c r="E176" s="53" t="str">
        <x:v>IIAA</x:v>
      </x:c>
      <x:c r="F176" s="53" t="str">
        <x:v>复杂模式</x:v>
      </x:c>
      <x:c r="G176" s="53" t="str">
        <x:v>病种候选词（需上下文判定）</x:v>
      </x:c>
      <x:c r="H176" s="53" t="str">
        <x:v>髂内动脉瘤确诊</x:v>
      </x:c>
      <x:c r="I176" s="53" t="str">
        <x:v>仅提及髂内动脉解剖未发现瘤</x:v>
      </x:c>
      <x:c r="J176" s="53" t="str">
        <x:v>不得仅凭此词判模式；先全局急诊/复杂覆盖</x:v>
      </x:c>
    </x:row>
    <x:row r="177" ht="41" customHeight="1">
      <x:c r="A177" s="53" t="str">
        <x:v>K173</x:v>
      </x:c>
      <x:c r="B177" s="53" t="str">
        <x:v>R054</x:v>
      </x:c>
      <x:c r="C177" s="53" t="str">
        <x:v>6 髂动脉瘤</x:v>
      </x:c>
      <x:c r="D177" s="53" t="str">
        <x:v>孤立性髂内动脉瘤</x:v>
      </x:c>
      <x:c r="E177" s="53" t="str">
        <x:v>internal iliac aneurysm</x:v>
      </x:c>
      <x:c r="F177" s="53" t="str">
        <x:v>复杂模式</x:v>
      </x:c>
      <x:c r="G177" s="53" t="str">
        <x:v>病种候选词（需上下文判定）</x:v>
      </x:c>
      <x:c r="H177" s="53" t="str">
        <x:v>髂内动脉瘤确诊</x:v>
      </x:c>
      <x:c r="I177" s="53" t="str">
        <x:v>仅提及髂内动脉解剖未发现瘤</x:v>
      </x:c>
      <x:c r="J177" s="53" t="str">
        <x:v>不得仅凭此词判模式；先全局急诊/复杂覆盖</x:v>
      </x:c>
    </x:row>
    <x:row r="178" ht="41" customHeight="1">
      <x:c r="A178" s="53" t="str">
        <x:v>K174</x:v>
      </x:c>
      <x:c r="B178" s="53" t="str">
        <x:v>R055</x:v>
      </x:c>
      <x:c r="C178" s="53" t="str">
        <x:v>6 髂动脉瘤</x:v>
      </x:c>
      <x:c r="D178" s="53" t="str">
        <x:v>孤立性髂外动脉瘤</x:v>
      </x:c>
      <x:c r="E178" s="53" t="str">
        <x:v>髂外动脉瘤</x:v>
      </x:c>
      <x:c r="F178" s="53" t="str">
        <x:v>复杂模式</x:v>
      </x:c>
      <x:c r="G178" s="53" t="str">
        <x:v>病种候选词（需上下文判定）</x:v>
      </x:c>
      <x:c r="H178" s="53" t="str">
        <x:v>髂外动脉瘤确诊</x:v>
      </x:c>
      <x:c r="I178" s="53" t="str">
        <x:v>单纯髂外动脉狭窄不等于瘤</x:v>
      </x:c>
      <x:c r="J178" s="53" t="str">
        <x:v>不得仅凭此词判模式；先全局急诊/复杂覆盖</x:v>
      </x:c>
    </x:row>
    <x:row r="179" ht="41" customHeight="1">
      <x:c r="A179" s="53" t="str">
        <x:v>K175</x:v>
      </x:c>
      <x:c r="B179" s="53" t="str">
        <x:v>R055</x:v>
      </x:c>
      <x:c r="C179" s="53" t="str">
        <x:v>6 髂动脉瘤</x:v>
      </x:c>
      <x:c r="D179" s="53" t="str">
        <x:v>孤立性髂外动脉瘤</x:v>
      </x:c>
      <x:c r="E179" s="53" t="str">
        <x:v>EIAA</x:v>
      </x:c>
      <x:c r="F179" s="53" t="str">
        <x:v>复杂模式</x:v>
      </x:c>
      <x:c r="G179" s="53" t="str">
        <x:v>病种候选词（需上下文判定）</x:v>
      </x:c>
      <x:c r="H179" s="53" t="str">
        <x:v>髂外动脉瘤确诊</x:v>
      </x:c>
      <x:c r="I179" s="53" t="str">
        <x:v>单纯髂外动脉狭窄不等于瘤</x:v>
      </x:c>
      <x:c r="J179" s="53" t="str">
        <x:v>不得仅凭此词判模式；先全局急诊/复杂覆盖</x:v>
      </x:c>
    </x:row>
    <x:row r="180" ht="41" customHeight="1">
      <x:c r="A180" s="53" t="str">
        <x:v>K176</x:v>
      </x:c>
      <x:c r="B180" s="53" t="str">
        <x:v>R055</x:v>
      </x:c>
      <x:c r="C180" s="53" t="str">
        <x:v>6 髂动脉瘤</x:v>
      </x:c>
      <x:c r="D180" s="53" t="str">
        <x:v>孤立性髂外动脉瘤</x:v>
      </x:c>
      <x:c r="E180" s="53" t="str">
        <x:v>external iliac aneurysm</x:v>
      </x:c>
      <x:c r="F180" s="53" t="str">
        <x:v>复杂模式</x:v>
      </x:c>
      <x:c r="G180" s="53" t="str">
        <x:v>病种候选词（需上下文判定）</x:v>
      </x:c>
      <x:c r="H180" s="53" t="str">
        <x:v>髂外动脉瘤确诊</x:v>
      </x:c>
      <x:c r="I180" s="53" t="str">
        <x:v>单纯髂外动脉狭窄不等于瘤</x:v>
      </x:c>
      <x:c r="J180" s="53" t="str">
        <x:v>不得仅凭此词判模式；先全局急诊/复杂覆盖</x:v>
      </x:c>
    </x:row>
    <x:row r="181" ht="41" customHeight="1">
      <x:c r="A181" s="53" t="str">
        <x:v>K177</x:v>
      </x:c>
      <x:c r="B181" s="53" t="str">
        <x:v>R056</x:v>
      </x:c>
      <x:c r="C181" s="53" t="str">
        <x:v>6 髂动脉瘤</x:v>
      </x:c>
      <x:c r="D181" s="53" t="str">
        <x:v>双侧/多节段髂动脉瘤</x:v>
      </x:c>
      <x:c r="E181" s="53" t="str">
        <x:v>双侧髂动脉瘤</x:v>
      </x:c>
      <x:c r="F181" s="53" t="str">
        <x:v>复杂模式</x:v>
      </x:c>
      <x:c r="G181" s="53" t="str">
        <x:v>病种候选词（需上下文判定）</x:v>
      </x:c>
      <x:c r="H181" s="53" t="str">
        <x:v>影像明确双侧或多个节段</x:v>
      </x:c>
      <x:c r="I181" s="53" t="str">
        <x:v>单侧孤立性简单病变</x:v>
      </x:c>
      <x:c r="J181" s="53" t="str">
        <x:v>不得仅凭此词判模式；先全局急诊/复杂覆盖</x:v>
      </x:c>
    </x:row>
    <x:row r="182" ht="41" customHeight="1">
      <x:c r="A182" s="53" t="str">
        <x:v>K178</x:v>
      </x:c>
      <x:c r="B182" s="53" t="str">
        <x:v>R056</x:v>
      </x:c>
      <x:c r="C182" s="53" t="str">
        <x:v>6 髂动脉瘤</x:v>
      </x:c>
      <x:c r="D182" s="53" t="str">
        <x:v>双侧/多节段髂动脉瘤</x:v>
      </x:c>
      <x:c r="E182" s="53" t="str">
        <x:v>多节段髂动脉瘤</x:v>
      </x:c>
      <x:c r="F182" s="53" t="str">
        <x:v>复杂模式</x:v>
      </x:c>
      <x:c r="G182" s="53" t="str">
        <x:v>病种候选词（需上下文判定）</x:v>
      </x:c>
      <x:c r="H182" s="53" t="str">
        <x:v>影像明确双侧或多个节段</x:v>
      </x:c>
      <x:c r="I182" s="53" t="str">
        <x:v>单侧孤立性简单病变</x:v>
      </x:c>
      <x:c r="J182" s="53" t="str">
        <x:v>不得仅凭此词判模式；先全局急诊/复杂覆盖</x:v>
      </x:c>
    </x:row>
    <x:row r="183" ht="41" customHeight="1">
      <x:c r="A183" s="53" t="str">
        <x:v>K179</x:v>
      </x:c>
      <x:c r="B183" s="53" t="str">
        <x:v>R056</x:v>
      </x:c>
      <x:c r="C183" s="53" t="str">
        <x:v>6 髂动脉瘤</x:v>
      </x:c>
      <x:c r="D183" s="53" t="str">
        <x:v>双侧/多节段髂动脉瘤</x:v>
      </x:c>
      <x:c r="E183" s="53" t="str">
        <x:v>bilateral iliac aneurysms</x:v>
      </x:c>
      <x:c r="F183" s="53" t="str">
        <x:v>复杂模式</x:v>
      </x:c>
      <x:c r="G183" s="53" t="str">
        <x:v>病种候选词（需上下文判定）</x:v>
      </x:c>
      <x:c r="H183" s="53" t="str">
        <x:v>影像明确双侧或多个节段</x:v>
      </x:c>
      <x:c r="I183" s="53" t="str">
        <x:v>单侧孤立性简单病变</x:v>
      </x:c>
      <x:c r="J183" s="53" t="str">
        <x:v>不得仅凭此词判模式；先全局急诊/复杂覆盖</x:v>
      </x:c>
    </x:row>
    <x:row r="184" ht="41" customHeight="1">
      <x:c r="A184" s="53" t="str">
        <x:v>K180</x:v>
      </x:c>
      <x:c r="B184" s="53" t="str">
        <x:v>R057</x:v>
      </x:c>
      <x:c r="C184" s="53" t="str">
        <x:v>6 髂动脉瘤</x:v>
      </x:c>
      <x:c r="D184" s="53" t="str">
        <x:v>腹主动脉-髂动脉联合动脉瘤</x:v>
      </x:c>
      <x:c r="E184" s="53" t="str">
        <x:v>主动脉髂动脉瘤</x:v>
      </x:c>
      <x:c r="F184" s="53" t="str">
        <x:v>复杂模式</x:v>
      </x:c>
      <x:c r="G184" s="53" t="str">
        <x:v>病种候选词（需上下文判定）</x:v>
      </x:c>
      <x:c r="H184" s="53" t="str">
        <x:v>AAA和髂动脉瘤同时存在</x:v>
      </x:c>
      <x:c r="I184" s="53" t="str">
        <x:v>仅AAA邻近髂动脉但无髂瘤</x:v>
      </x:c>
      <x:c r="J184" s="53" t="str">
        <x:v>不得仅凭此词判模式；先全局急诊/复杂覆盖</x:v>
      </x:c>
    </x:row>
    <x:row r="185" ht="41" customHeight="1">
      <x:c r="A185" s="53" t="str">
        <x:v>K181</x:v>
      </x:c>
      <x:c r="B185" s="53" t="str">
        <x:v>R057</x:v>
      </x:c>
      <x:c r="C185" s="53" t="str">
        <x:v>6 髂动脉瘤</x:v>
      </x:c>
      <x:c r="D185" s="53" t="str">
        <x:v>腹主动脉-髂动脉联合动脉瘤</x:v>
      </x:c>
      <x:c r="E185" s="53" t="str">
        <x:v>aortoiliac aneurysm</x:v>
      </x:c>
      <x:c r="F185" s="53" t="str">
        <x:v>复杂模式</x:v>
      </x:c>
      <x:c r="G185" s="53" t="str">
        <x:v>病种候选词（需上下文判定）</x:v>
      </x:c>
      <x:c r="H185" s="53" t="str">
        <x:v>AAA和髂动脉瘤同时存在</x:v>
      </x:c>
      <x:c r="I185" s="53" t="str">
        <x:v>仅AAA邻近髂动脉但无髂瘤</x:v>
      </x:c>
      <x:c r="J185" s="53" t="str">
        <x:v>不得仅凭此词判模式；先全局急诊/复杂覆盖</x:v>
      </x:c>
    </x:row>
    <x:row r="186" ht="41" customHeight="1">
      <x:c r="A186" s="53" t="str">
        <x:v>K182</x:v>
      </x:c>
      <x:c r="B186" s="53" t="str">
        <x:v>R057</x:v>
      </x:c>
      <x:c r="C186" s="53" t="str">
        <x:v>6 髂动脉瘤</x:v>
      </x:c>
      <x:c r="D186" s="53" t="str">
        <x:v>腹主动脉-髂动脉联合动脉瘤</x:v>
      </x:c>
      <x:c r="E186" s="53" t="str">
        <x:v>AAA伴髂动脉瘤</x:v>
      </x:c>
      <x:c r="F186" s="53" t="str">
        <x:v>复杂模式</x:v>
      </x:c>
      <x:c r="G186" s="53" t="str">
        <x:v>病种候选词（需上下文判定）</x:v>
      </x:c>
      <x:c r="H186" s="53" t="str">
        <x:v>AAA和髂动脉瘤同时存在</x:v>
      </x:c>
      <x:c r="I186" s="53" t="str">
        <x:v>仅AAA邻近髂动脉但无髂瘤</x:v>
      </x:c>
      <x:c r="J186" s="53" t="str">
        <x:v>不得仅凭此词判模式；先全局急诊/复杂覆盖</x:v>
      </x:c>
    </x:row>
    <x:row r="187" ht="41" customHeight="1">
      <x:c r="A187" s="53" t="str">
        <x:v>K183</x:v>
      </x:c>
      <x:c r="B187" s="53" t="str">
        <x:v>R058</x:v>
      </x:c>
      <x:c r="C187" s="53" t="str">
        <x:v>6 髂动脉瘤</x:v>
      </x:c>
      <x:c r="D187" s="53" t="str">
        <x:v>症状性髂动脉瘤</x:v>
      </x:c>
      <x:c r="E187" s="53" t="str">
        <x:v>症状性髂动脉瘤</x:v>
      </x:c>
      <x:c r="F187" s="53" t="str">
        <x:v>急诊模式</x:v>
      </x:c>
      <x:c r="G187" s="53" t="str">
        <x:v>病种候选词（需上下文判定）</x:v>
      </x:c>
      <x:c r="H187" s="53" t="str">
        <x:v>有髂动脉瘤且临床归因相关症状</x:v>
      </x:c>
      <x:c r="I187" s="53" t="str">
        <x:v>既往症状或无关原因</x:v>
      </x:c>
      <x:c r="J187" s="53" t="str">
        <x:v>不得仅凭此词判模式；先全局急诊/复杂覆盖</x:v>
      </x:c>
    </x:row>
    <x:row r="188" ht="41" customHeight="1">
      <x:c r="A188" s="53" t="str">
        <x:v>K184</x:v>
      </x:c>
      <x:c r="B188" s="53" t="str">
        <x:v>R058</x:v>
      </x:c>
      <x:c r="C188" s="53" t="str">
        <x:v>6 髂动脉瘤</x:v>
      </x:c>
      <x:c r="D188" s="53" t="str">
        <x:v>症状性髂动脉瘤</x:v>
      </x:c>
      <x:c r="E188" s="53" t="str">
        <x:v>symptomatic iliac aneurysm</x:v>
      </x:c>
      <x:c r="F188" s="53" t="str">
        <x:v>急诊模式</x:v>
      </x:c>
      <x:c r="G188" s="53" t="str">
        <x:v>病种候选词（需上下文判定）</x:v>
      </x:c>
      <x:c r="H188" s="53" t="str">
        <x:v>有髂动脉瘤且临床归因相关症状</x:v>
      </x:c>
      <x:c r="I188" s="53" t="str">
        <x:v>既往症状或无关原因</x:v>
      </x:c>
      <x:c r="J188" s="53" t="str">
        <x:v>不得仅凭此词判模式；先全局急诊/复杂覆盖</x:v>
      </x:c>
    </x:row>
    <x:row r="189" ht="41" customHeight="1">
      <x:c r="A189" s="53" t="str">
        <x:v>K185</x:v>
      </x:c>
      <x:c r="B189" s="53" t="str">
        <x:v>R058</x:v>
      </x:c>
      <x:c r="C189" s="53" t="str">
        <x:v>6 髂动脉瘤</x:v>
      </x:c>
      <x:c r="D189" s="53" t="str">
        <x:v>症状性髂动脉瘤</x:v>
      </x:c>
      <x:c r="E189" s="53" t="str">
        <x:v>髂瘤压迫症状</x:v>
      </x:c>
      <x:c r="F189" s="53" t="str">
        <x:v>急诊模式</x:v>
      </x:c>
      <x:c r="G189" s="53" t="str">
        <x:v>病种候选词（需上下文判定）</x:v>
      </x:c>
      <x:c r="H189" s="53" t="str">
        <x:v>有髂动脉瘤且临床归因相关症状</x:v>
      </x:c>
      <x:c r="I189" s="53" t="str">
        <x:v>既往症状或无关原因</x:v>
      </x:c>
      <x:c r="J189" s="53" t="str">
        <x:v>不得仅凭此词判模式；先全局急诊/复杂覆盖</x:v>
      </x:c>
    </x:row>
    <x:row r="190" ht="41" customHeight="1">
      <x:c r="A190" s="53" t="str">
        <x:v>K186</x:v>
      </x:c>
      <x:c r="B190" s="53" t="str">
        <x:v>R059</x:v>
      </x:c>
      <x:c r="C190" s="53" t="str">
        <x:v>6 髂动脉瘤</x:v>
      </x:c>
      <x:c r="D190" s="53" t="str">
        <x:v>术后髂动脉重建并发症</x:v>
      </x:c>
      <x:c r="E190" s="53" t="str">
        <x:v>髂支支架闭塞</x:v>
      </x:c>
      <x:c r="F190" s="53" t="str">
        <x:v>复杂模式</x:v>
      </x:c>
      <x:c r="G190" s="53" t="str">
        <x:v>病种候选词（需上下文判定）</x:v>
      </x:c>
      <x:c r="H190" s="53" t="str">
        <x:v>既往髂动脉重建且存在通畅性/内漏等问题</x:v>
      </x:c>
      <x:c r="I190" s="53" t="str">
        <x:v>仅术前动脉瘤</x:v>
      </x:c>
      <x:c r="J190" s="53" t="str">
        <x:v>不得仅凭此词判模式；先全局急诊/复杂覆盖</x:v>
      </x:c>
    </x:row>
    <x:row r="191" ht="41" customHeight="1">
      <x:c r="A191" s="53" t="str">
        <x:v>K187</x:v>
      </x:c>
      <x:c r="B191" s="53" t="str">
        <x:v>R059</x:v>
      </x:c>
      <x:c r="C191" s="53" t="str">
        <x:v>6 髂动脉瘤</x:v>
      </x:c>
      <x:c r="D191" s="53" t="str">
        <x:v>术后髂动脉重建并发症</x:v>
      </x:c>
      <x:c r="E191" s="53" t="str">
        <x:v>iliac branch occlusion</x:v>
      </x:c>
      <x:c r="F191" s="53" t="str">
        <x:v>复杂模式</x:v>
      </x:c>
      <x:c r="G191" s="53" t="str">
        <x:v>病种候选词（需上下文判定）</x:v>
      </x:c>
      <x:c r="H191" s="53" t="str">
        <x:v>既往髂动脉重建且存在通畅性/内漏等问题</x:v>
      </x:c>
      <x:c r="I191" s="53" t="str">
        <x:v>仅术前动脉瘤</x:v>
      </x:c>
      <x:c r="J191" s="53" t="str">
        <x:v>不得仅凭此词判模式；先全局急诊/复杂覆盖</x:v>
      </x:c>
    </x:row>
    <x:row r="192" ht="41" customHeight="1">
      <x:c r="A192" s="53" t="str">
        <x:v>K188</x:v>
      </x:c>
      <x:c r="B192" s="53" t="str">
        <x:v>R059</x:v>
      </x:c>
      <x:c r="C192" s="53" t="str">
        <x:v>6 髂动脉瘤</x:v>
      </x:c>
      <x:c r="D192" s="53" t="str">
        <x:v>术后髂动脉重建并发症</x:v>
      </x:c>
      <x:c r="E192" s="53" t="str">
        <x:v>IBD endoleak</x:v>
      </x:c>
      <x:c r="F192" s="53" t="str">
        <x:v>复杂模式</x:v>
      </x:c>
      <x:c r="G192" s="53" t="str">
        <x:v>病种候选词（需上下文判定）</x:v>
      </x:c>
      <x:c r="H192" s="53" t="str">
        <x:v>既往髂动脉重建且存在通畅性/内漏等问题</x:v>
      </x:c>
      <x:c r="I192" s="53" t="str">
        <x:v>仅术前动脉瘤</x:v>
      </x:c>
      <x:c r="J192" s="53" t="str">
        <x:v>不得仅凭此词判模式；先全局急诊/复杂覆盖</x:v>
      </x:c>
    </x:row>
    <x:row r="193" ht="41" customHeight="1">
      <x:c r="A193" s="53" t="str">
        <x:v>K189</x:v>
      </x:c>
      <x:c r="B193" s="53" t="str">
        <x:v>R060</x:v>
      </x:c>
      <x:c r="C193" s="53" t="str">
        <x:v>7 AAA术后状态/并发症</x:v>
      </x:c>
      <x:c r="D193" s="53" t="str">
        <x:v>EVAR术后无并发症随访</x:v>
      </x:c>
      <x:c r="E193" s="53" t="str">
        <x:v>EVAR术后复查</x:v>
      </x:c>
      <x:c r="F193" s="53" t="str">
        <x:v>指南模式</x:v>
      </x:c>
      <x:c r="G193" s="53" t="str">
        <x:v>病种候选词（需上下文判定）</x:v>
      </x:c>
      <x:c r="H193" s="53" t="str">
        <x:v>已完成EVAR AND 无内漏/瘤囊增大/移位/狭窄/感染等提示</x:v>
      </x:c>
      <x:c r="I193" s="53" t="str">
        <x:v>任何明确危险术后异常</x:v>
      </x:c>
      <x:c r="J193" s="53" t="str">
        <x:v>不得仅凭此词判模式；先全局急诊/复杂覆盖</x:v>
      </x:c>
    </x:row>
    <x:row r="194" ht="41" customHeight="1">
      <x:c r="A194" s="53" t="str">
        <x:v>K190</x:v>
      </x:c>
      <x:c r="B194" s="53" t="str">
        <x:v>R060</x:v>
      </x:c>
      <x:c r="C194" s="53" t="str">
        <x:v>7 AAA术后状态/并发症</x:v>
      </x:c>
      <x:c r="D194" s="53" t="str">
        <x:v>EVAR术后无并发症随访</x:v>
      </x:c>
      <x:c r="E194" s="53" t="str">
        <x:v>EVAR常规随访</x:v>
      </x:c>
      <x:c r="F194" s="53" t="str">
        <x:v>指南模式</x:v>
      </x:c>
      <x:c r="G194" s="53" t="str">
        <x:v>病种候选词（需上下文判定）</x:v>
      </x:c>
      <x:c r="H194" s="53" t="str">
        <x:v>已完成EVAR AND 无内漏/瘤囊增大/移位/狭窄/感染等提示</x:v>
      </x:c>
      <x:c r="I194" s="53" t="str">
        <x:v>任何明确危险术后异常</x:v>
      </x:c>
      <x:c r="J194" s="53" t="str">
        <x:v>不得仅凭此词判模式；先全局急诊/复杂覆盖</x:v>
      </x:c>
    </x:row>
    <x:row r="195" ht="41" customHeight="1">
      <x:c r="A195" s="53" t="str">
        <x:v>K191</x:v>
      </x:c>
      <x:c r="B195" s="53" t="str">
        <x:v>R060</x:v>
      </x:c>
      <x:c r="C195" s="53" t="str">
        <x:v>7 AAA术后状态/并发症</x:v>
      </x:c>
      <x:c r="D195" s="53" t="str">
        <x:v>EVAR术后无并发症随访</x:v>
      </x:c>
      <x:c r="E195" s="53" t="str">
        <x:v>uncomplicated EVAR follow-up</x:v>
      </x:c>
      <x:c r="F195" s="53" t="str">
        <x:v>指南模式</x:v>
      </x:c>
      <x:c r="G195" s="53" t="str">
        <x:v>病种候选词（需上下文判定）</x:v>
      </x:c>
      <x:c r="H195" s="53" t="str">
        <x:v>已完成EVAR AND 无内漏/瘤囊增大/移位/狭窄/感染等提示</x:v>
      </x:c>
      <x:c r="I195" s="53" t="str">
        <x:v>任何明确危险术后异常</x:v>
      </x:c>
      <x:c r="J195" s="53" t="str">
        <x:v>不得仅凭此词判模式；先全局急诊/复杂覆盖</x:v>
      </x:c>
    </x:row>
    <x:row r="196" ht="41" customHeight="1">
      <x:c r="A196" s="53" t="str">
        <x:v>K192</x:v>
      </x:c>
      <x:c r="B196" s="53" t="str">
        <x:v>R061</x:v>
      </x:c>
      <x:c r="C196" s="53" t="str">
        <x:v>7 AAA术后状态/并发症</x:v>
      </x:c>
      <x:c r="D196" s="53" t="str">
        <x:v>OSR术后无并发症随访</x:v>
      </x:c>
      <x:c r="E196" s="53" t="str">
        <x:v>OSR术后复查</x:v>
      </x:c>
      <x:c r="F196" s="53" t="str">
        <x:v>指南模式</x:v>
      </x:c>
      <x:c r="G196" s="53" t="str">
        <x:v>病种候选词（需上下文判定）</x:v>
      </x:c>
      <x:c r="H196" s="53" t="str">
        <x:v>已完成开放修复 AND 无术后新病变及并发症</x:v>
      </x:c>
      <x:c r="I196" s="53" t="str">
        <x:v>疑似吻合口假性瘤、感染、血管闭塞</x:v>
      </x:c>
      <x:c r="J196" s="53" t="str">
        <x:v>不得仅凭此词判模式；先全局急诊/复杂覆盖</x:v>
      </x:c>
    </x:row>
    <x:row r="197" ht="41" customHeight="1">
      <x:c r="A197" s="53" t="str">
        <x:v>K193</x:v>
      </x:c>
      <x:c r="B197" s="53" t="str">
        <x:v>R061</x:v>
      </x:c>
      <x:c r="C197" s="53" t="str">
        <x:v>7 AAA术后状态/并发症</x:v>
      </x:c>
      <x:c r="D197" s="53" t="str">
        <x:v>OSR术后无并发症随访</x:v>
      </x:c>
      <x:c r="E197" s="53" t="str">
        <x:v>开放修复术后随访</x:v>
      </x:c>
      <x:c r="F197" s="53" t="str">
        <x:v>指南模式</x:v>
      </x:c>
      <x:c r="G197" s="53" t="str">
        <x:v>病种候选词（需上下文判定）</x:v>
      </x:c>
      <x:c r="H197" s="53" t="str">
        <x:v>已完成开放修复 AND 无术后新病变及并发症</x:v>
      </x:c>
      <x:c r="I197" s="53" t="str">
        <x:v>疑似吻合口假性瘤、感染、血管闭塞</x:v>
      </x:c>
      <x:c r="J197" s="53" t="str">
        <x:v>不得仅凭此词判模式；先全局急诊/复杂覆盖</x:v>
      </x:c>
    </x:row>
    <x:row r="198" ht="41" customHeight="1">
      <x:c r="A198" s="53" t="str">
        <x:v>K194</x:v>
      </x:c>
      <x:c r="B198" s="53" t="str">
        <x:v>R061</x:v>
      </x:c>
      <x:c r="C198" s="53" t="str">
        <x:v>7 AAA术后状态/并发症</x:v>
      </x:c>
      <x:c r="D198" s="53" t="str">
        <x:v>OSR术后无并发症随访</x:v>
      </x:c>
      <x:c r="E198" s="53" t="str">
        <x:v>uncomplicated open repair follow-up</x:v>
      </x:c>
      <x:c r="F198" s="53" t="str">
        <x:v>指南模式</x:v>
      </x:c>
      <x:c r="G198" s="53" t="str">
        <x:v>病种候选词（需上下文判定）</x:v>
      </x:c>
      <x:c r="H198" s="53" t="str">
        <x:v>已完成开放修复 AND 无术后新病变及并发症</x:v>
      </x:c>
      <x:c r="I198" s="53" t="str">
        <x:v>疑似吻合口假性瘤、感染、血管闭塞</x:v>
      </x:c>
      <x:c r="J198" s="53" t="str">
        <x:v>不得仅凭此词判模式；先全局急诊/复杂覆盖</x:v>
      </x:c>
    </x:row>
    <x:row r="199" ht="41" customHeight="1">
      <x:c r="A199" s="53" t="str">
        <x:v>K195</x:v>
      </x:c>
      <x:c r="B199" s="53" t="str">
        <x:v>R062</x:v>
      </x:c>
      <x:c r="C199" s="53" t="str">
        <x:v>7 AAA术后状态/并发症</x:v>
      </x:c>
      <x:c r="D199" s="53" t="str">
        <x:v>复杂AAA修复术后随访</x:v>
      </x:c>
      <x:c r="E199" s="53" t="str">
        <x:v>FEVAR术后</x:v>
      </x:c>
      <x:c r="F199" s="53" t="str">
        <x:v>复杂模式</x:v>
      </x:c>
      <x:c r="G199" s="53" t="str">
        <x:v>病种候选词（需上下文判定）</x:v>
      </x:c>
      <x:c r="H199" s="53" t="str">
        <x:v>存在复杂重建/内脏分支桥接血管</x:v>
      </x:c>
      <x:c r="I199" s="53" t="str">
        <x:v>常规简单标准EVAR可转普通随访</x:v>
      </x:c>
      <x:c r="J199" s="53" t="str">
        <x:v>不得仅凭此词判模式；先全局急诊/复杂覆盖</x:v>
      </x:c>
    </x:row>
    <x:row r="200" ht="41" customHeight="1">
      <x:c r="A200" s="53" t="str">
        <x:v>K196</x:v>
      </x:c>
      <x:c r="B200" s="53" t="str">
        <x:v>R062</x:v>
      </x:c>
      <x:c r="C200" s="53" t="str">
        <x:v>7 AAA术后状态/并发症</x:v>
      </x:c>
      <x:c r="D200" s="53" t="str">
        <x:v>复杂AAA修复术后随访</x:v>
      </x:c>
      <x:c r="E200" s="53" t="str">
        <x:v>BEVAR术后</x:v>
      </x:c>
      <x:c r="F200" s="53" t="str">
        <x:v>复杂模式</x:v>
      </x:c>
      <x:c r="G200" s="53" t="str">
        <x:v>病种候选词（需上下文判定）</x:v>
      </x:c>
      <x:c r="H200" s="53" t="str">
        <x:v>存在复杂重建/内脏分支桥接血管</x:v>
      </x:c>
      <x:c r="I200" s="53" t="str">
        <x:v>常规简单标准EVAR可转普通随访</x:v>
      </x:c>
      <x:c r="J200" s="53" t="str">
        <x:v>不得仅凭此词判模式；先全局急诊/复杂覆盖</x:v>
      </x:c>
    </x:row>
    <x:row r="201" ht="41" customHeight="1">
      <x:c r="A201" s="53" t="str">
        <x:v>K197</x:v>
      </x:c>
      <x:c r="B201" s="53" t="str">
        <x:v>R062</x:v>
      </x:c>
      <x:c r="C201" s="53" t="str">
        <x:v>7 AAA术后状态/并发症</x:v>
      </x:c>
      <x:c r="D201" s="53" t="str">
        <x:v>复杂AAA修复术后随访</x:v>
      </x:c>
      <x:c r="E201" s="53" t="str">
        <x:v>开窗支架术后</x:v>
      </x:c>
      <x:c r="F201" s="53" t="str">
        <x:v>复杂模式</x:v>
      </x:c>
      <x:c r="G201" s="53" t="str">
        <x:v>病种候选词（需上下文判定）</x:v>
      </x:c>
      <x:c r="H201" s="53" t="str">
        <x:v>存在复杂重建/内脏分支桥接血管</x:v>
      </x:c>
      <x:c r="I201" s="53" t="str">
        <x:v>常规简单标准EVAR可转普通随访</x:v>
      </x:c>
      <x:c r="J201" s="53" t="str">
        <x:v>不得仅凭此词判模式；先全局急诊/复杂覆盖</x:v>
      </x:c>
    </x:row>
    <x:row r="202" ht="41" customHeight="1">
      <x:c r="A202" s="53" t="str">
        <x:v>K198</x:v>
      </x:c>
      <x:c r="B202" s="53" t="str">
        <x:v>R062</x:v>
      </x:c>
      <x:c r="C202" s="53" t="str">
        <x:v>7 AAA术后状态/并发症</x:v>
      </x:c>
      <x:c r="D202" s="53" t="str">
        <x:v>复杂AAA修复术后随访</x:v>
      </x:c>
      <x:c r="E202" s="53" t="str">
        <x:v>branched endograft follow-up</x:v>
      </x:c>
      <x:c r="F202" s="53" t="str">
        <x:v>复杂模式</x:v>
      </x:c>
      <x:c r="G202" s="53" t="str">
        <x:v>病种候选词（需上下文判定）</x:v>
      </x:c>
      <x:c r="H202" s="53" t="str">
        <x:v>存在复杂重建/内脏分支桥接血管</x:v>
      </x:c>
      <x:c r="I202" s="53" t="str">
        <x:v>常规简单标准EVAR可转普通随访</x:v>
      </x:c>
      <x:c r="J202" s="53" t="str">
        <x:v>不得仅凭此词判模式；先全局急诊/复杂覆盖</x:v>
      </x:c>
    </x:row>
    <x:row r="203" ht="41" customHeight="1">
      <x:c r="A203" s="53" t="str">
        <x:v>K199</x:v>
      </x:c>
      <x:c r="B203" s="53" t="str">
        <x:v>R063</x:v>
      </x:c>
      <x:c r="C203" s="53" t="str">
        <x:v>7 AAA术后状态/并发症</x:v>
      </x:c>
      <x:c r="D203" s="53" t="str">
        <x:v>I型内漏 Ia</x:v>
      </x:c>
      <x:c r="E203" s="53" t="str">
        <x:v>Ⅰa型内漏</x:v>
      </x:c>
      <x:c r="F203" s="53" t="str">
        <x:v>复杂模式</x:v>
      </x:c>
      <x:c r="G203" s="53" t="str">
        <x:v>病种候选词（需上下文判定）</x:v>
      </x:c>
      <x:c r="H203" s="53" t="str">
        <x:v>既往EVAR AND 近端密封失败证据</x:v>
      </x:c>
      <x:c r="I203" s="53" t="str">
        <x:v>否认内漏；仅曾修复已解决</x:v>
      </x:c>
      <x:c r="J203" s="53" t="str">
        <x:v>不得仅凭此词判模式；先全局急诊/复杂覆盖</x:v>
      </x:c>
    </x:row>
    <x:row r="204" ht="41" customHeight="1">
      <x:c r="A204" s="53" t="str">
        <x:v>K200</x:v>
      </x:c>
      <x:c r="B204" s="53" t="str">
        <x:v>R063</x:v>
      </x:c>
      <x:c r="C204" s="53" t="str">
        <x:v>7 AAA术后状态/并发症</x:v>
      </x:c>
      <x:c r="D204" s="53" t="str">
        <x:v>I型内漏 Ia</x:v>
      </x:c>
      <x:c r="E204" s="53" t="str">
        <x:v>Type Ia endoleak</x:v>
      </x:c>
      <x:c r="F204" s="53" t="str">
        <x:v>复杂模式</x:v>
      </x:c>
      <x:c r="G204" s="53" t="str">
        <x:v>病种候选词（需上下文判定）</x:v>
      </x:c>
      <x:c r="H204" s="53" t="str">
        <x:v>既往EVAR AND 近端密封失败证据</x:v>
      </x:c>
      <x:c r="I204" s="53" t="str">
        <x:v>否认内漏；仅曾修复已解决</x:v>
      </x:c>
      <x:c r="J204" s="53" t="str">
        <x:v>不得仅凭此词判模式；先全局急诊/复杂覆盖</x:v>
      </x:c>
    </x:row>
    <x:row r="205" ht="41" customHeight="1">
      <x:c r="A205" s="53" t="str">
        <x:v>K201</x:v>
      </x:c>
      <x:c r="B205" s="53" t="str">
        <x:v>R063</x:v>
      </x:c>
      <x:c r="C205" s="53" t="str">
        <x:v>7 AAA术后状态/并发症</x:v>
      </x:c>
      <x:c r="D205" s="53" t="str">
        <x:v>I型内漏 Ia</x:v>
      </x:c>
      <x:c r="E205" s="53" t="str">
        <x:v>近端内漏</x:v>
      </x:c>
      <x:c r="F205" s="53" t="str">
        <x:v>复杂模式</x:v>
      </x:c>
      <x:c r="G205" s="53" t="str">
        <x:v>病种候选词（需上下文判定）</x:v>
      </x:c>
      <x:c r="H205" s="53" t="str">
        <x:v>既往EVAR AND 近端密封失败证据</x:v>
      </x:c>
      <x:c r="I205" s="53" t="str">
        <x:v>否认内漏；仅曾修复已解决</x:v>
      </x:c>
      <x:c r="J205" s="53" t="str">
        <x:v>不得仅凭此词判模式；先全局急诊/复杂覆盖</x:v>
      </x:c>
    </x:row>
    <x:row r="206" ht="41" customHeight="1">
      <x:c r="A206" s="53" t="str">
        <x:v>K202</x:v>
      </x:c>
      <x:c r="B206" s="53" t="str">
        <x:v>R063</x:v>
      </x:c>
      <x:c r="C206" s="53" t="str">
        <x:v>7 AAA术后状态/并发症</x:v>
      </x:c>
      <x:c r="D206" s="53" t="str">
        <x:v>I型内漏 Ia</x:v>
      </x:c>
      <x:c r="E206" s="53" t="str">
        <x:v>proximal type I leak</x:v>
      </x:c>
      <x:c r="F206" s="53" t="str">
        <x:v>复杂模式</x:v>
      </x:c>
      <x:c r="G206" s="53" t="str">
        <x:v>病种候选词（需上下文判定）</x:v>
      </x:c>
      <x:c r="H206" s="53" t="str">
        <x:v>既往EVAR AND 近端密封失败证据</x:v>
      </x:c>
      <x:c r="I206" s="53" t="str">
        <x:v>否认内漏；仅曾修复已解决</x:v>
      </x:c>
      <x:c r="J206" s="53" t="str">
        <x:v>不得仅凭此词判模式；先全局急诊/复杂覆盖</x:v>
      </x:c>
    </x:row>
    <x:row r="207" ht="41" customHeight="1">
      <x:c r="A207" s="53" t="str">
        <x:v>K203</x:v>
      </x:c>
      <x:c r="B207" s="53" t="str">
        <x:v>R064</x:v>
      </x:c>
      <x:c r="C207" s="53" t="str">
        <x:v>7 AAA术后状态/并发症</x:v>
      </x:c>
      <x:c r="D207" s="53" t="str">
        <x:v>I型内漏 Ib/Ic</x:v>
      </x:c>
      <x:c r="E207" s="53" t="str">
        <x:v>Ⅰb型内漏</x:v>
      </x:c>
      <x:c r="F207" s="53" t="str">
        <x:v>复杂模式</x:v>
      </x:c>
      <x:c r="G207" s="53" t="str">
        <x:v>病种候选词（需上下文判定）</x:v>
      </x:c>
      <x:c r="H207" s="53" t="str">
        <x:v>既往EVAR AND 远端密封失败/髂封堵处漏</x:v>
      </x:c>
      <x:c r="I207" s="53" t="str">
        <x:v>无证据的复查记录</x:v>
      </x:c>
      <x:c r="J207" s="53" t="str">
        <x:v>不得仅凭此词判模式；先全局急诊/复杂覆盖</x:v>
      </x:c>
    </x:row>
    <x:row r="208" ht="41" customHeight="1">
      <x:c r="A208" s="53" t="str">
        <x:v>K204</x:v>
      </x:c>
      <x:c r="B208" s="53" t="str">
        <x:v>R064</x:v>
      </x:c>
      <x:c r="C208" s="53" t="str">
        <x:v>7 AAA术后状态/并发症</x:v>
      </x:c>
      <x:c r="D208" s="53" t="str">
        <x:v>I型内漏 Ib/Ic</x:v>
      </x:c>
      <x:c r="E208" s="53" t="str">
        <x:v>Ⅰc型内漏</x:v>
      </x:c>
      <x:c r="F208" s="53" t="str">
        <x:v>复杂模式</x:v>
      </x:c>
      <x:c r="G208" s="53" t="str">
        <x:v>病种候选词（需上下文判定）</x:v>
      </x:c>
      <x:c r="H208" s="53" t="str">
        <x:v>既往EVAR AND 远端密封失败/髂封堵处漏</x:v>
      </x:c>
      <x:c r="I208" s="53" t="str">
        <x:v>无证据的复查记录</x:v>
      </x:c>
      <x:c r="J208" s="53" t="str">
        <x:v>不得仅凭此词判模式；先全局急诊/复杂覆盖</x:v>
      </x:c>
    </x:row>
    <x:row r="209" ht="41" customHeight="1">
      <x:c r="A209" s="53" t="str">
        <x:v>K205</x:v>
      </x:c>
      <x:c r="B209" s="53" t="str">
        <x:v>R064</x:v>
      </x:c>
      <x:c r="C209" s="53" t="str">
        <x:v>7 AAA术后状态/并发症</x:v>
      </x:c>
      <x:c r="D209" s="53" t="str">
        <x:v>I型内漏 Ib/Ic</x:v>
      </x:c>
      <x:c r="E209" s="53" t="str">
        <x:v>Type Ib endoleak</x:v>
      </x:c>
      <x:c r="F209" s="53" t="str">
        <x:v>复杂模式</x:v>
      </x:c>
      <x:c r="G209" s="53" t="str">
        <x:v>病种候选词（需上下文判定）</x:v>
      </x:c>
      <x:c r="H209" s="53" t="str">
        <x:v>既往EVAR AND 远端密封失败/髂封堵处漏</x:v>
      </x:c>
      <x:c r="I209" s="53" t="str">
        <x:v>无证据的复查记录</x:v>
      </x:c>
      <x:c r="J209" s="53" t="str">
        <x:v>不得仅凭此词判模式；先全局急诊/复杂覆盖</x:v>
      </x:c>
    </x:row>
    <x:row r="210" ht="41" customHeight="1">
      <x:c r="A210" s="53" t="str">
        <x:v>K206</x:v>
      </x:c>
      <x:c r="B210" s="53" t="str">
        <x:v>R064</x:v>
      </x:c>
      <x:c r="C210" s="53" t="str">
        <x:v>7 AAA术后状态/并发症</x:v>
      </x:c>
      <x:c r="D210" s="53" t="str">
        <x:v>I型内漏 Ib/Ic</x:v>
      </x:c>
      <x:c r="E210" s="53" t="str">
        <x:v>Type Ic endoleak</x:v>
      </x:c>
      <x:c r="F210" s="53" t="str">
        <x:v>复杂模式</x:v>
      </x:c>
      <x:c r="G210" s="53" t="str">
        <x:v>病种候选词（需上下文判定）</x:v>
      </x:c>
      <x:c r="H210" s="53" t="str">
        <x:v>既往EVAR AND 远端密封失败/髂封堵处漏</x:v>
      </x:c>
      <x:c r="I210" s="53" t="str">
        <x:v>无证据的复查记录</x:v>
      </x:c>
      <x:c r="J210" s="53" t="str">
        <x:v>不得仅凭此词判模式；先全局急诊/复杂覆盖</x:v>
      </x:c>
    </x:row>
    <x:row r="211" ht="41" customHeight="1">
      <x:c r="A211" s="53" t="str">
        <x:v>K207</x:v>
      </x:c>
      <x:c r="B211" s="53" t="str">
        <x:v>R065</x:v>
      </x:c>
      <x:c r="C211" s="53" t="str">
        <x:v>7 AAA术后状态/并发症</x:v>
      </x:c>
      <x:c r="D211" s="53" t="str">
        <x:v>II型内漏瘤囊稳定</x:v>
      </x:c>
      <x:c r="E211" s="53" t="str">
        <x:v>Ⅱ型内漏</x:v>
      </x:c>
      <x:c r="F211" s="53" t="str">
        <x:v>指南模式</x:v>
      </x:c>
      <x:c r="G211" s="53" t="str">
        <x:v>病种候选词（需上下文判定）</x:v>
      </x:c>
      <x:c r="H211" s="53" t="str">
        <x:v>EVAR AND 确诊II型内漏 AND 瘤囊稳定或缩小 AND 无其他异常</x:v>
      </x:c>
      <x:c r="I211" s="53" t="str">
        <x:v>瘤囊增大、无法排除I/III型内漏</x:v>
      </x:c>
      <x:c r="J211" s="53" t="str">
        <x:v>不得仅凭此词判模式；先全局急诊/复杂覆盖</x:v>
      </x:c>
    </x:row>
    <x:row r="212" ht="41" customHeight="1">
      <x:c r="A212" s="53" t="str">
        <x:v>K208</x:v>
      </x:c>
      <x:c r="B212" s="53" t="str">
        <x:v>R065</x:v>
      </x:c>
      <x:c r="C212" s="53" t="str">
        <x:v>7 AAA术后状态/并发症</x:v>
      </x:c>
      <x:c r="D212" s="53" t="str">
        <x:v>II型内漏瘤囊稳定</x:v>
      </x:c>
      <x:c r="E212" s="53" t="str">
        <x:v>Type II endoleak</x:v>
      </x:c>
      <x:c r="F212" s="53" t="str">
        <x:v>指南模式</x:v>
      </x:c>
      <x:c r="G212" s="53" t="str">
        <x:v>病种候选词（需上下文判定）</x:v>
      </x:c>
      <x:c r="H212" s="53" t="str">
        <x:v>EVAR AND 确诊II型内漏 AND 瘤囊稳定或缩小 AND 无其他异常</x:v>
      </x:c>
      <x:c r="I212" s="53" t="str">
        <x:v>瘤囊增大、无法排除I/III型内漏</x:v>
      </x:c>
      <x:c r="J212" s="53" t="str">
        <x:v>不得仅凭此词判模式；先全局急诊/复杂覆盖</x:v>
      </x:c>
    </x:row>
    <x:row r="213" ht="41" customHeight="1">
      <x:c r="A213" s="53" t="str">
        <x:v>K209</x:v>
      </x:c>
      <x:c r="B213" s="53" t="str">
        <x:v>R065</x:v>
      </x:c>
      <x:c r="C213" s="53" t="str">
        <x:v>7 AAA术后状态/并发症</x:v>
      </x:c>
      <x:c r="D213" s="53" t="str">
        <x:v>II型内漏瘤囊稳定</x:v>
      </x:c>
      <x:c r="E213" s="53" t="str">
        <x:v>腰动脉逆流内漏</x:v>
      </x:c>
      <x:c r="F213" s="53" t="str">
        <x:v>指南模式</x:v>
      </x:c>
      <x:c r="G213" s="53" t="str">
        <x:v>病种候选词（需上下文判定）</x:v>
      </x:c>
      <x:c r="H213" s="53" t="str">
        <x:v>EVAR AND 确诊II型内漏 AND 瘤囊稳定或缩小 AND 无其他异常</x:v>
      </x:c>
      <x:c r="I213" s="53" t="str">
        <x:v>瘤囊增大、无法排除I/III型内漏</x:v>
      </x:c>
      <x:c r="J213" s="53" t="str">
        <x:v>不得仅凭此词判模式；先全局急诊/复杂覆盖</x:v>
      </x:c>
    </x:row>
    <x:row r="214" ht="41" customHeight="1">
      <x:c r="A214" s="53" t="str">
        <x:v>K210</x:v>
      </x:c>
      <x:c r="B214" s="53" t="str">
        <x:v>R065</x:v>
      </x:c>
      <x:c r="C214" s="53" t="str">
        <x:v>7 AAA术后状态/并发症</x:v>
      </x:c>
      <x:c r="D214" s="53" t="str">
        <x:v>II型内漏瘤囊稳定</x:v>
      </x:c>
      <x:c r="E214" s="53" t="str">
        <x:v>IMA endoleak</x:v>
      </x:c>
      <x:c r="F214" s="53" t="str">
        <x:v>指南模式</x:v>
      </x:c>
      <x:c r="G214" s="53" t="str">
        <x:v>病种候选词（需上下文判定）</x:v>
      </x:c>
      <x:c r="H214" s="53" t="str">
        <x:v>EVAR AND 确诊II型内漏 AND 瘤囊稳定或缩小 AND 无其他异常</x:v>
      </x:c>
      <x:c r="I214" s="53" t="str">
        <x:v>瘤囊增大、无法排除I/III型内漏</x:v>
      </x:c>
      <x:c r="J214" s="53" t="str">
        <x:v>不得仅凭此词判模式；先全局急诊/复杂覆盖</x:v>
      </x:c>
    </x:row>
    <x:row r="215" ht="41" customHeight="1">
      <x:c r="A215" s="53" t="str">
        <x:v>K211</x:v>
      </x:c>
      <x:c r="B215" s="53" t="str">
        <x:v>R066</x:v>
      </x:c>
      <x:c r="C215" s="53" t="str">
        <x:v>7 AAA术后状态/并发症</x:v>
      </x:c>
      <x:c r="D215" s="53" t="str">
        <x:v>II型内漏伴瘤囊增大</x:v>
      </x:c>
      <x:c r="E215" s="53" t="str">
        <x:v>Ⅱ型内漏伴瘤囊增大</x:v>
      </x:c>
      <x:c r="F215" s="53" t="str">
        <x:v>复杂模式</x:v>
      </x:c>
      <x:c r="G215" s="53" t="str">
        <x:v>病种候选词（需上下文判定）</x:v>
      </x:c>
      <x:c r="H215" s="53" t="str">
        <x:v>EVAR AND II型内漏 AND 客观记录瘤囊增大</x:v>
      </x:c>
      <x:c r="I215" s="53" t="str">
        <x:v>无客观变化、测量误差未排除</x:v>
      </x:c>
      <x:c r="J215" s="53" t="str">
        <x:v>不得仅凭此词判模式；先全局急诊/复杂覆盖</x:v>
      </x:c>
    </x:row>
    <x:row r="216" ht="41" customHeight="1">
      <x:c r="A216" s="53" t="str">
        <x:v>K212</x:v>
      </x:c>
      <x:c r="B216" s="53" t="str">
        <x:v>R066</x:v>
      </x:c>
      <x:c r="C216" s="53" t="str">
        <x:v>7 AAA术后状态/并发症</x:v>
      </x:c>
      <x:c r="D216" s="53" t="str">
        <x:v>II型内漏伴瘤囊增大</x:v>
      </x:c>
      <x:c r="E216" s="53" t="str">
        <x:v>Type II endoleak with sac expansion</x:v>
      </x:c>
      <x:c r="F216" s="53" t="str">
        <x:v>复杂模式</x:v>
      </x:c>
      <x:c r="G216" s="53" t="str">
        <x:v>病种候选词（需上下文判定）</x:v>
      </x:c>
      <x:c r="H216" s="53" t="str">
        <x:v>EVAR AND II型内漏 AND 客观记录瘤囊增大</x:v>
      </x:c>
      <x:c r="I216" s="53" t="str">
        <x:v>无客观变化、测量误差未排除</x:v>
      </x:c>
      <x:c r="J216" s="53" t="str">
        <x:v>不得仅凭此词判模式；先全局急诊/复杂覆盖</x:v>
      </x:c>
    </x:row>
    <x:row r="217" ht="41" customHeight="1">
      <x:c r="A217" s="53" t="str">
        <x:v>K213</x:v>
      </x:c>
      <x:c r="B217" s="53" t="str">
        <x:v>R067</x:v>
      </x:c>
      <x:c r="C217" s="53" t="str">
        <x:v>7 AAA术后状态/并发症</x:v>
      </x:c>
      <x:c r="D217" s="53" t="str">
        <x:v>III型内漏 IIIa</x:v>
      </x:c>
      <x:c r="E217" s="53" t="str">
        <x:v>Ⅲa型内漏</x:v>
      </x:c>
      <x:c r="F217" s="53" t="str">
        <x:v>复杂模式</x:v>
      </x:c>
      <x:c r="G217" s="53" t="str">
        <x:v>病种候选词（需上下文判定）</x:v>
      </x:c>
      <x:c r="H217" s="53" t="str">
        <x:v>既往EVAR AND 组件分离/对接处漏</x:v>
      </x:c>
      <x:c r="I217" s="53" t="str">
        <x:v>分支/支架连接部位正常且否认内漏</x:v>
      </x:c>
      <x:c r="J217" s="53" t="str">
        <x:v>不得仅凭此词判模式；先全局急诊/复杂覆盖</x:v>
      </x:c>
    </x:row>
    <x:row r="218" ht="41" customHeight="1">
      <x:c r="A218" s="53" t="str">
        <x:v>K214</x:v>
      </x:c>
      <x:c r="B218" s="53" t="str">
        <x:v>R067</x:v>
      </x:c>
      <x:c r="C218" s="53" t="str">
        <x:v>7 AAA术后状态/并发症</x:v>
      </x:c>
      <x:c r="D218" s="53" t="str">
        <x:v>III型内漏 IIIa</x:v>
      </x:c>
      <x:c r="E218" s="53" t="str">
        <x:v>Type IIIa endoleak</x:v>
      </x:c>
      <x:c r="F218" s="53" t="str">
        <x:v>复杂模式</x:v>
      </x:c>
      <x:c r="G218" s="53" t="str">
        <x:v>病种候选词（需上下文判定）</x:v>
      </x:c>
      <x:c r="H218" s="53" t="str">
        <x:v>既往EVAR AND 组件分离/对接处漏</x:v>
      </x:c>
      <x:c r="I218" s="53" t="str">
        <x:v>分支/支架连接部位正常且否认内漏</x:v>
      </x:c>
      <x:c r="J218" s="53" t="str">
        <x:v>不得仅凭此词判模式；先全局急诊/复杂覆盖</x:v>
      </x:c>
    </x:row>
    <x:row r="219" ht="41" customHeight="1">
      <x:c r="A219" s="53" t="str">
        <x:v>K215</x:v>
      </x:c>
      <x:c r="B219" s="53" t="str">
        <x:v>R067</x:v>
      </x:c>
      <x:c r="C219" s="53" t="str">
        <x:v>7 AAA术后状态/并发症</x:v>
      </x:c>
      <x:c r="D219" s="53" t="str">
        <x:v>III型内漏 IIIa</x:v>
      </x:c>
      <x:c r="E219" s="53" t="str">
        <x:v>组件分离</x:v>
      </x:c>
      <x:c r="F219" s="53" t="str">
        <x:v>复杂模式</x:v>
      </x:c>
      <x:c r="G219" s="53" t="str">
        <x:v>病种候选词（需上下文判定）</x:v>
      </x:c>
      <x:c r="H219" s="53" t="str">
        <x:v>既往EVAR AND 组件分离/对接处漏</x:v>
      </x:c>
      <x:c r="I219" s="53" t="str">
        <x:v>分支/支架连接部位正常且否认内漏</x:v>
      </x:c>
      <x:c r="J219" s="53" t="str">
        <x:v>不得仅凭此词判模式；先全局急诊/复杂覆盖</x:v>
      </x:c>
    </x:row>
    <x:row r="220" ht="41" customHeight="1">
      <x:c r="A220" s="53" t="str">
        <x:v>K216</x:v>
      </x:c>
      <x:c r="B220" s="53" t="str">
        <x:v>R067</x:v>
      </x:c>
      <x:c r="C220" s="53" t="str">
        <x:v>7 AAA术后状态/并发症</x:v>
      </x:c>
      <x:c r="D220" s="53" t="str">
        <x:v>III型内漏 IIIa</x:v>
      </x:c>
      <x:c r="E220" s="53" t="str">
        <x:v>graft component separation</x:v>
      </x:c>
      <x:c r="F220" s="53" t="str">
        <x:v>复杂模式</x:v>
      </x:c>
      <x:c r="G220" s="53" t="str">
        <x:v>病种候选词（需上下文判定）</x:v>
      </x:c>
      <x:c r="H220" s="53" t="str">
        <x:v>既往EVAR AND 组件分离/对接处漏</x:v>
      </x:c>
      <x:c r="I220" s="53" t="str">
        <x:v>分支/支架连接部位正常且否认内漏</x:v>
      </x:c>
      <x:c r="J220" s="53" t="str">
        <x:v>不得仅凭此词判模式；先全局急诊/复杂覆盖</x:v>
      </x:c>
    </x:row>
    <x:row r="221" ht="41" customHeight="1">
      <x:c r="A221" s="53" t="str">
        <x:v>K217</x:v>
      </x:c>
      <x:c r="B221" s="53" t="str">
        <x:v>R068</x:v>
      </x:c>
      <x:c r="C221" s="53" t="str">
        <x:v>7 AAA术后状态/并发症</x:v>
      </x:c>
      <x:c r="D221" s="53" t="str">
        <x:v>III型内漏 IIIb</x:v>
      </x:c>
      <x:c r="E221" s="53" t="str">
        <x:v>Ⅲb型内漏</x:v>
      </x:c>
      <x:c r="F221" s="53" t="str">
        <x:v>复杂模式</x:v>
      </x:c>
      <x:c r="G221" s="53" t="str">
        <x:v>病种候选词（需上下文判定）</x:v>
      </x:c>
      <x:c r="H221" s="53" t="str">
        <x:v>既往EVAR AND 覆膜缺损/支架材料破坏导致内漏</x:v>
      </x:c>
      <x:c r="I221" s="53" t="str">
        <x:v>仅轻微支架折曲无内漏</x:v>
      </x:c>
      <x:c r="J221" s="53" t="str">
        <x:v>不得仅凭此词判模式；先全局急诊/复杂覆盖</x:v>
      </x:c>
    </x:row>
    <x:row r="222" ht="41" customHeight="1">
      <x:c r="A222" s="53" t="str">
        <x:v>K218</x:v>
      </x:c>
      <x:c r="B222" s="53" t="str">
        <x:v>R068</x:v>
      </x:c>
      <x:c r="C222" s="53" t="str">
        <x:v>7 AAA术后状态/并发症</x:v>
      </x:c>
      <x:c r="D222" s="53" t="str">
        <x:v>III型内漏 IIIb</x:v>
      </x:c>
      <x:c r="E222" s="53" t="str">
        <x:v>Type IIIb endoleak</x:v>
      </x:c>
      <x:c r="F222" s="53" t="str">
        <x:v>复杂模式</x:v>
      </x:c>
      <x:c r="G222" s="53" t="str">
        <x:v>病种候选词（需上下文判定）</x:v>
      </x:c>
      <x:c r="H222" s="53" t="str">
        <x:v>既往EVAR AND 覆膜缺损/支架材料破坏导致内漏</x:v>
      </x:c>
      <x:c r="I222" s="53" t="str">
        <x:v>仅轻微支架折曲无内漏</x:v>
      </x:c>
      <x:c r="J222" s="53" t="str">
        <x:v>不得仅凭此词判模式；先全局急诊/复杂覆盖</x:v>
      </x:c>
    </x:row>
    <x:row r="223" ht="41" customHeight="1">
      <x:c r="A223" s="53" t="str">
        <x:v>K219</x:v>
      </x:c>
      <x:c r="B223" s="53" t="str">
        <x:v>R068</x:v>
      </x:c>
      <x:c r="C223" s="53" t="str">
        <x:v>7 AAA术后状态/并发症</x:v>
      </x:c>
      <x:c r="D223" s="53" t="str">
        <x:v>III型内漏 IIIb</x:v>
      </x:c>
      <x:c r="E223" s="53" t="str">
        <x:v>覆膜撕裂</x:v>
      </x:c>
      <x:c r="F223" s="53" t="str">
        <x:v>复杂模式</x:v>
      </x:c>
      <x:c r="G223" s="53" t="str">
        <x:v>病种候选词（需上下文判定）</x:v>
      </x:c>
      <x:c r="H223" s="53" t="str">
        <x:v>既往EVAR AND 覆膜缺损/支架材料破坏导致内漏</x:v>
      </x:c>
      <x:c r="I223" s="53" t="str">
        <x:v>仅轻微支架折曲无内漏</x:v>
      </x:c>
      <x:c r="J223" s="53" t="str">
        <x:v>不得仅凭此词判模式；先全局急诊/复杂覆盖</x:v>
      </x:c>
    </x:row>
    <x:row r="224" ht="41" customHeight="1">
      <x:c r="A224" s="53" t="str">
        <x:v>K220</x:v>
      </x:c>
      <x:c r="B224" s="53" t="str">
        <x:v>R068</x:v>
      </x:c>
      <x:c r="C224" s="53" t="str">
        <x:v>7 AAA术后状态/并发症</x:v>
      </x:c>
      <x:c r="D224" s="53" t="str">
        <x:v>III型内漏 IIIb</x:v>
      </x:c>
      <x:c r="E224" s="53" t="str">
        <x:v>graft fabric disruption</x:v>
      </x:c>
      <x:c r="F224" s="53" t="str">
        <x:v>复杂模式</x:v>
      </x:c>
      <x:c r="G224" s="53" t="str">
        <x:v>病种候选词（需上下文判定）</x:v>
      </x:c>
      <x:c r="H224" s="53" t="str">
        <x:v>既往EVAR AND 覆膜缺损/支架材料破坏导致内漏</x:v>
      </x:c>
      <x:c r="I224" s="53" t="str">
        <x:v>仅轻微支架折曲无内漏</x:v>
      </x:c>
      <x:c r="J224" s="53" t="str">
        <x:v>不得仅凭此词判模式；先全局急诊/复杂覆盖</x:v>
      </x:c>
    </x:row>
    <x:row r="225" ht="41" customHeight="1">
      <x:c r="A225" s="53" t="str">
        <x:v>K221</x:v>
      </x:c>
      <x:c r="B225" s="53" t="str">
        <x:v>R069</x:v>
      </x:c>
      <x:c r="C225" s="53" t="str">
        <x:v>7 AAA术后状态/并发症</x:v>
      </x:c>
      <x:c r="D225" s="53" t="str">
        <x:v>IV型内漏</x:v>
      </x:c>
      <x:c r="E225" s="53" t="str">
        <x:v>Ⅳ型内漏</x:v>
      </x:c>
      <x:c r="F225" s="53" t="str">
        <x:v>复杂模式</x:v>
      </x:c>
      <x:c r="G225" s="53" t="str">
        <x:v>病种候选词（需上下文判定）</x:v>
      </x:c>
      <x:c r="H225" s="53" t="str">
        <x:v>EVAR AND 术者/影像判断IV型内漏</x:v>
      </x:c>
      <x:c r="I225" s="53" t="str">
        <x:v>仅不明渗漏；术后较晚时期未排除其他原因</x:v>
      </x:c>
      <x:c r="J225" s="53" t="str">
        <x:v>不得仅凭此词判模式；先全局急诊/复杂覆盖</x:v>
      </x:c>
    </x:row>
    <x:row r="226" ht="41" customHeight="1">
      <x:c r="A226" s="53" t="str">
        <x:v>K222</x:v>
      </x:c>
      <x:c r="B226" s="53" t="str">
        <x:v>R069</x:v>
      </x:c>
      <x:c r="C226" s="53" t="str">
        <x:v>7 AAA术后状态/并发症</x:v>
      </x:c>
      <x:c r="D226" s="53" t="str">
        <x:v>IV型内漏</x:v>
      </x:c>
      <x:c r="E226" s="53" t="str">
        <x:v>Type IV endoleak</x:v>
      </x:c>
      <x:c r="F226" s="53" t="str">
        <x:v>复杂模式</x:v>
      </x:c>
      <x:c r="G226" s="53" t="str">
        <x:v>病种候选词（需上下文判定）</x:v>
      </x:c>
      <x:c r="H226" s="53" t="str">
        <x:v>EVAR AND 术者/影像判断IV型内漏</x:v>
      </x:c>
      <x:c r="I226" s="53" t="str">
        <x:v>仅不明渗漏；术后较晚时期未排除其他原因</x:v>
      </x:c>
      <x:c r="J226" s="53" t="str">
        <x:v>不得仅凭此词判模式；先全局急诊/复杂覆盖</x:v>
      </x:c>
    </x:row>
    <x:row r="227" ht="41" customHeight="1">
      <x:c r="A227" s="53" t="str">
        <x:v>K223</x:v>
      </x:c>
      <x:c r="B227" s="53" t="str">
        <x:v>R069</x:v>
      </x:c>
      <x:c r="C227" s="53" t="str">
        <x:v>7 AAA术后状态/并发症</x:v>
      </x:c>
      <x:c r="D227" s="53" t="str">
        <x:v>IV型内漏</x:v>
      </x:c>
      <x:c r="E227" s="53" t="str">
        <x:v>支架孔隙渗漏</x:v>
      </x:c>
      <x:c r="F227" s="53" t="str">
        <x:v>复杂模式</x:v>
      </x:c>
      <x:c r="G227" s="53" t="str">
        <x:v>病种候选词（需上下文判定）</x:v>
      </x:c>
      <x:c r="H227" s="53" t="str">
        <x:v>EVAR AND 术者/影像判断IV型内漏</x:v>
      </x:c>
      <x:c r="I227" s="53" t="str">
        <x:v>仅不明渗漏；术后较晚时期未排除其他原因</x:v>
      </x:c>
      <x:c r="J227" s="53" t="str">
        <x:v>不得仅凭此词判模式；先全局急诊/复杂覆盖</x:v>
      </x:c>
    </x:row>
    <x:row r="228" ht="41" customHeight="1">
      <x:c r="A228" s="53" t="str">
        <x:v>K224</x:v>
      </x:c>
      <x:c r="B228" s="53" t="str">
        <x:v>R069</x:v>
      </x:c>
      <x:c r="C228" s="53" t="str">
        <x:v>7 AAA术后状态/并发症</x:v>
      </x:c>
      <x:c r="D228" s="53" t="str">
        <x:v>IV型内漏</x:v>
      </x:c>
      <x:c r="E228" s="53" t="str">
        <x:v>graft porosity</x:v>
      </x:c>
      <x:c r="F228" s="53" t="str">
        <x:v>复杂模式</x:v>
      </x:c>
      <x:c r="G228" s="53" t="str">
        <x:v>病种候选词（需上下文判定）</x:v>
      </x:c>
      <x:c r="H228" s="53" t="str">
        <x:v>EVAR AND 术者/影像判断IV型内漏</x:v>
      </x:c>
      <x:c r="I228" s="53" t="str">
        <x:v>仅不明渗漏；术后较晚时期未排除其他原因</x:v>
      </x:c>
      <x:c r="J228" s="53" t="str">
        <x:v>不得仅凭此词判模式；先全局急诊/复杂覆盖</x:v>
      </x:c>
    </x:row>
    <x:row r="229" ht="41" customHeight="1">
      <x:c r="A229" s="53" t="str">
        <x:v>K225</x:v>
      </x:c>
      <x:c r="B229" s="53" t="str">
        <x:v>R070</x:v>
      </x:c>
      <x:c r="C229" s="53" t="str">
        <x:v>7 AAA术后状态/并发症</x:v>
      </x:c>
      <x:c r="D229" s="53" t="str">
        <x:v>不明类型内漏</x:v>
      </x:c>
      <x:c r="E229" s="53" t="str">
        <x:v>不明类型内漏</x:v>
      </x:c>
      <x:c r="F229" s="53" t="str">
        <x:v>复杂模式</x:v>
      </x:c>
      <x:c r="G229" s="53" t="str">
        <x:v>病种候选词（需上下文判定）</x:v>
      </x:c>
      <x:c r="H229" s="53" t="str">
        <x:v>EVAR术后确有内漏证据但尚未明确类型</x:v>
      </x:c>
      <x:c r="I229" s="53" t="str">
        <x:v>明确为某一种类型者应走对应条目</x:v>
      </x:c>
      <x:c r="J229" s="53" t="str">
        <x:v>不得仅凭此词判模式；先全局急诊/复杂覆盖</x:v>
      </x:c>
    </x:row>
    <x:row r="230" ht="41" customHeight="1">
      <x:c r="A230" s="53" t="str">
        <x:v>K226</x:v>
      </x:c>
      <x:c r="B230" s="53" t="str">
        <x:v>R070</x:v>
      </x:c>
      <x:c r="C230" s="53" t="str">
        <x:v>7 AAA术后状态/并发症</x:v>
      </x:c>
      <x:c r="D230" s="53" t="str">
        <x:v>不明类型内漏</x:v>
      </x:c>
      <x:c r="E230" s="53" t="str">
        <x:v>undetermined endoleak</x:v>
      </x:c>
      <x:c r="F230" s="53" t="str">
        <x:v>复杂模式</x:v>
      </x:c>
      <x:c r="G230" s="53" t="str">
        <x:v>病种候选词（需上下文判定）</x:v>
      </x:c>
      <x:c r="H230" s="53" t="str">
        <x:v>EVAR术后确有内漏证据但尚未明确类型</x:v>
      </x:c>
      <x:c r="I230" s="53" t="str">
        <x:v>明确为某一种类型者应走对应条目</x:v>
      </x:c>
      <x:c r="J230" s="53" t="str">
        <x:v>不得仅凭此词判模式；先全局急诊/复杂覆盖</x:v>
      </x:c>
    </x:row>
    <x:row r="231" ht="41" customHeight="1">
      <x:c r="A231" s="53" t="str">
        <x:v>K227</x:v>
      </x:c>
      <x:c r="B231" s="53" t="str">
        <x:v>R070</x:v>
      </x:c>
      <x:c r="C231" s="53" t="str">
        <x:v>7 AAA术后状态/并发症</x:v>
      </x:c>
      <x:c r="D231" s="53" t="str">
        <x:v>不明类型内漏</x:v>
      </x:c>
      <x:c r="E231" s="53" t="str">
        <x:v>occult endoleak</x:v>
      </x:c>
      <x:c r="F231" s="53" t="str">
        <x:v>复杂模式</x:v>
      </x:c>
      <x:c r="G231" s="53" t="str">
        <x:v>病种候选词（需上下文判定）</x:v>
      </x:c>
      <x:c r="H231" s="53" t="str">
        <x:v>EVAR术后确有内漏证据但尚未明确类型</x:v>
      </x:c>
      <x:c r="I231" s="53" t="str">
        <x:v>明确为某一种类型者应走对应条目</x:v>
      </x:c>
      <x:c r="J231" s="53" t="str">
        <x:v>不得仅凭此词判模式；先全局急诊/复杂覆盖</x:v>
      </x:c>
    </x:row>
    <x:row r="232" ht="41" customHeight="1">
      <x:c r="A232" s="53" t="str">
        <x:v>K228</x:v>
      </x:c>
      <x:c r="B232" s="53" t="str">
        <x:v>R071</x:v>
      </x:c>
      <x:c r="C232" s="53" t="str">
        <x:v>7 AAA术后状态/并发症</x:v>
      </x:c>
      <x:c r="D232" s="53" t="str">
        <x:v>无内漏而瘤囊增大</x:v>
      </x:c>
      <x:c r="E232" s="53" t="str">
        <x:v>无可见内漏瘤囊增大</x:v>
      </x:c>
      <x:c r="F232" s="53" t="str">
        <x:v>复杂模式</x:v>
      </x:c>
      <x:c r="G232" s="53" t="str">
        <x:v>病种候选词（需上下文判定）</x:v>
      </x:c>
      <x:c r="H232" s="53" t="str">
        <x:v>EVAR AND 瘤囊客观增大 AND 当前未见明确内漏</x:v>
      </x:c>
      <x:c r="I232" s="53" t="str">
        <x:v>瘤囊稳定或缩小；不同影像方法测量偏差</x:v>
      </x:c>
      <x:c r="J232" s="53" t="str">
        <x:v>不得仅凭此词判模式；先全局急诊/复杂覆盖</x:v>
      </x:c>
    </x:row>
    <x:row r="233" ht="41" customHeight="1">
      <x:c r="A233" s="53" t="str">
        <x:v>K229</x:v>
      </x:c>
      <x:c r="B233" s="53" t="str">
        <x:v>R071</x:v>
      </x:c>
      <x:c r="C233" s="53" t="str">
        <x:v>7 AAA术后状态/并发症</x:v>
      </x:c>
      <x:c r="D233" s="53" t="str">
        <x:v>无内漏而瘤囊增大</x:v>
      </x:c>
      <x:c r="E233" s="53" t="str">
        <x:v>post-EVAR sac growth without endoleak</x:v>
      </x:c>
      <x:c r="F233" s="53" t="str">
        <x:v>复杂模式</x:v>
      </x:c>
      <x:c r="G233" s="53" t="str">
        <x:v>病种候选词（需上下文判定）</x:v>
      </x:c>
      <x:c r="H233" s="53" t="str">
        <x:v>EVAR AND 瘤囊客观增大 AND 当前未见明确内漏</x:v>
      </x:c>
      <x:c r="I233" s="53" t="str">
        <x:v>瘤囊稳定或缩小；不同影像方法测量偏差</x:v>
      </x:c>
      <x:c r="J233" s="53" t="str">
        <x:v>不得仅凭此词判模式；先全局急诊/复杂覆盖</x:v>
      </x:c>
    </x:row>
    <x:row r="234" ht="41" customHeight="1">
      <x:c r="A234" s="53" t="str">
        <x:v>K230</x:v>
      </x:c>
      <x:c r="B234" s="53" t="str">
        <x:v>R071</x:v>
      </x:c>
      <x:c r="C234" s="53" t="str">
        <x:v>7 AAA术后状态/并发症</x:v>
      </x:c>
      <x:c r="D234" s="53" t="str">
        <x:v>无内漏而瘤囊增大</x:v>
      </x:c>
      <x:c r="E234" s="53" t="str">
        <x:v>endotension</x:v>
      </x:c>
      <x:c r="F234" s="53" t="str">
        <x:v>复杂模式</x:v>
      </x:c>
      <x:c r="G234" s="53" t="str">
        <x:v>病种候选词（需上下文判定）</x:v>
      </x:c>
      <x:c r="H234" s="53" t="str">
        <x:v>EVAR AND 瘤囊客观增大 AND 当前未见明确内漏</x:v>
      </x:c>
      <x:c r="I234" s="53" t="str">
        <x:v>瘤囊稳定或缩小；不同影像方法测量偏差</x:v>
      </x:c>
      <x:c r="J234" s="53" t="str">
        <x:v>不得仅凭此词判模式；先全局急诊/复杂覆盖</x:v>
      </x:c>
    </x:row>
    <x:row r="235" ht="41" customHeight="1">
      <x:c r="A235" s="53" t="str">
        <x:v>K231</x:v>
      </x:c>
      <x:c r="B235" s="53" t="str">
        <x:v>R072</x:v>
      </x:c>
      <x:c r="C235" s="53" t="str">
        <x:v>7 AAA术后状态/并发症</x:v>
      </x:c>
      <x:c r="D235" s="53" t="str">
        <x:v>支架移位</x:v>
      </x:c>
      <x:c r="E235" s="53" t="str">
        <x:v>支架移位</x:v>
      </x:c>
      <x:c r="F235" s="53" t="str">
        <x:v>复杂模式</x:v>
      </x:c>
      <x:c r="G235" s="53" t="str">
        <x:v>病种候选词（需上下文判定）</x:v>
      </x:c>
      <x:c r="H235" s="53" t="str">
        <x:v>EVAR且影像证实移位</x:v>
      </x:c>
      <x:c r="I235" s="53" t="str">
        <x:v>植入时定位正常不等于后续移位</x:v>
      </x:c>
      <x:c r="J235" s="53" t="str">
        <x:v>不得仅凭此词判模式；先全局急诊/复杂覆盖</x:v>
      </x:c>
    </x:row>
    <x:row r="236" ht="41" customHeight="1">
      <x:c r="A236" s="53" t="str">
        <x:v>K232</x:v>
      </x:c>
      <x:c r="B236" s="53" t="str">
        <x:v>R072</x:v>
      </x:c>
      <x:c r="C236" s="53" t="str">
        <x:v>7 AAA术后状态/并发症</x:v>
      </x:c>
      <x:c r="D236" s="53" t="str">
        <x:v>支架移位</x:v>
      </x:c>
      <x:c r="E236" s="53" t="str">
        <x:v>endograft migration</x:v>
      </x:c>
      <x:c r="F236" s="53" t="str">
        <x:v>复杂模式</x:v>
      </x:c>
      <x:c r="G236" s="53" t="str">
        <x:v>病种候选词（需上下文判定）</x:v>
      </x:c>
      <x:c r="H236" s="53" t="str">
        <x:v>EVAR且影像证实移位</x:v>
      </x:c>
      <x:c r="I236" s="53" t="str">
        <x:v>植入时定位正常不等于后续移位</x:v>
      </x:c>
      <x:c r="J236" s="53" t="str">
        <x:v>不得仅凭此词判模式；先全局急诊/复杂覆盖</x:v>
      </x:c>
    </x:row>
    <x:row r="237" ht="41" customHeight="1">
      <x:c r="A237" s="53" t="str">
        <x:v>K233</x:v>
      </x:c>
      <x:c r="B237" s="53" t="str">
        <x:v>R072</x:v>
      </x:c>
      <x:c r="C237" s="53" t="str">
        <x:v>7 AAA术后状态/并发症</x:v>
      </x:c>
      <x:c r="D237" s="53" t="str">
        <x:v>支架移位</x:v>
      </x:c>
      <x:c r="E237" s="53" t="str">
        <x:v>stent graft migration</x:v>
      </x:c>
      <x:c r="F237" s="53" t="str">
        <x:v>复杂模式</x:v>
      </x:c>
      <x:c r="G237" s="53" t="str">
        <x:v>病种候选词（需上下文判定）</x:v>
      </x:c>
      <x:c r="H237" s="53" t="str">
        <x:v>EVAR且影像证实移位</x:v>
      </x:c>
      <x:c r="I237" s="53" t="str">
        <x:v>植入时定位正常不等于后续移位</x:v>
      </x:c>
      <x:c r="J237" s="53" t="str">
        <x:v>不得仅凭此词判模式；先全局急诊/复杂覆盖</x:v>
      </x:c>
    </x:row>
    <x:row r="238" ht="41" customHeight="1">
      <x:c r="A238" s="53" t="str">
        <x:v>K234</x:v>
      </x:c>
      <x:c r="B238" s="53" t="str">
        <x:v>R073</x:v>
      </x:c>
      <x:c r="C238" s="53" t="str">
        <x:v>7 AAA术后状态/并发症</x:v>
      </x:c>
      <x:c r="D238" s="53" t="str">
        <x:v>近端或远端锚定/密封区丧失</x:v>
      </x:c>
      <x:c r="E238" s="53" t="str">
        <x:v>近端密封区失效</x:v>
      </x:c>
      <x:c r="F238" s="53" t="str">
        <x:v>复杂模式</x:v>
      </x:c>
      <x:c r="G238" s="53" t="str">
        <x:v>病种候选词（需上下文判定）</x:v>
      </x:c>
      <x:c r="H238" s="53" t="str">
        <x:v>EVAR且密封区客观异常</x:v>
      </x:c>
      <x:c r="I238" s="53" t="str">
        <x:v>术前不良瘤颈但尚未实施EVAR</x:v>
      </x:c>
      <x:c r="J238" s="53" t="str">
        <x:v>不得仅凭此词判模式；先全局急诊/复杂覆盖</x:v>
      </x:c>
    </x:row>
    <x:row r="239" ht="41" customHeight="1">
      <x:c r="A239" s="53" t="str">
        <x:v>K235</x:v>
      </x:c>
      <x:c r="B239" s="53" t="str">
        <x:v>R073</x:v>
      </x:c>
      <x:c r="C239" s="53" t="str">
        <x:v>7 AAA术后状态/并发症</x:v>
      </x:c>
      <x:c r="D239" s="53" t="str">
        <x:v>近端或远端锚定/密封区丧失</x:v>
      </x:c>
      <x:c r="E239" s="53" t="str">
        <x:v>loss of proximal seal</x:v>
      </x:c>
      <x:c r="F239" s="53" t="str">
        <x:v>复杂模式</x:v>
      </x:c>
      <x:c r="G239" s="53" t="str">
        <x:v>病种候选词（需上下文判定）</x:v>
      </x:c>
      <x:c r="H239" s="53" t="str">
        <x:v>EVAR且密封区客观异常</x:v>
      </x:c>
      <x:c r="I239" s="53" t="str">
        <x:v>术前不良瘤颈但尚未实施EVAR</x:v>
      </x:c>
      <x:c r="J239" s="53" t="str">
        <x:v>不得仅凭此词判模式；先全局急诊/复杂覆盖</x:v>
      </x:c>
    </x:row>
    <x:row r="240" ht="41" customHeight="1">
      <x:c r="A240" s="53" t="str">
        <x:v>K236</x:v>
      </x:c>
      <x:c r="B240" s="53" t="str">
        <x:v>R073</x:v>
      </x:c>
      <x:c r="C240" s="53" t="str">
        <x:v>7 AAA术后状态/并发症</x:v>
      </x:c>
      <x:c r="D240" s="53" t="str">
        <x:v>近端或远端锚定/密封区丧失</x:v>
      </x:c>
      <x:c r="E240" s="53" t="str">
        <x:v>distal seal failure</x:v>
      </x:c>
      <x:c r="F240" s="53" t="str">
        <x:v>复杂模式</x:v>
      </x:c>
      <x:c r="G240" s="53" t="str">
        <x:v>病种候选词（需上下文判定）</x:v>
      </x:c>
      <x:c r="H240" s="53" t="str">
        <x:v>EVAR且密封区客观异常</x:v>
      </x:c>
      <x:c r="I240" s="53" t="str">
        <x:v>术前不良瘤颈但尚未实施EVAR</x:v>
      </x:c>
      <x:c r="J240" s="53" t="str">
        <x:v>不得仅凭此词判模式；先全局急诊/复杂覆盖</x:v>
      </x:c>
    </x:row>
    <x:row r="241" ht="41" customHeight="1">
      <x:c r="A241" s="53" t="str">
        <x:v>K237</x:v>
      </x:c>
      <x:c r="B241" s="53" t="str">
        <x:v>R074</x:v>
      </x:c>
      <x:c r="C241" s="53" t="str">
        <x:v>7 AAA术后状态/并发症</x:v>
      </x:c>
      <x:c r="D241" s="53" t="str">
        <x:v>支架折曲/狭窄</x:v>
      </x:c>
      <x:c r="E241" s="53" t="str">
        <x:v>支架折曲</x:v>
      </x:c>
      <x:c r="F241" s="53" t="str">
        <x:v>复杂模式</x:v>
      </x:c>
      <x:c r="G241" s="53" t="str">
        <x:v>病种候选词（需上下文判定）</x:v>
      </x:c>
      <x:c r="H241" s="53" t="str">
        <x:v>EVAR且血流异常或影像明确折曲狭窄</x:v>
      </x:c>
      <x:c r="I241" s="53" t="str">
        <x:v>无血流影响的描述应谨慎评估严重性</x:v>
      </x:c>
      <x:c r="J241" s="53" t="str">
        <x:v>不得仅凭此词判模式；先全局急诊/复杂覆盖</x:v>
      </x:c>
    </x:row>
    <x:row r="242" ht="41" customHeight="1">
      <x:c r="A242" s="53" t="str">
        <x:v>K238</x:v>
      </x:c>
      <x:c r="B242" s="53" t="str">
        <x:v>R074</x:v>
      </x:c>
      <x:c r="C242" s="53" t="str">
        <x:v>7 AAA术后状态/并发症</x:v>
      </x:c>
      <x:c r="D242" s="53" t="str">
        <x:v>支架折曲/狭窄</x:v>
      </x:c>
      <x:c r="E242" s="53" t="str">
        <x:v>支架狭窄</x:v>
      </x:c>
      <x:c r="F242" s="53" t="str">
        <x:v>复杂模式</x:v>
      </x:c>
      <x:c r="G242" s="53" t="str">
        <x:v>病种候选词（需上下文判定）</x:v>
      </x:c>
      <x:c r="H242" s="53" t="str">
        <x:v>EVAR且血流异常或影像明确折曲狭窄</x:v>
      </x:c>
      <x:c r="I242" s="53" t="str">
        <x:v>无血流影响的描述应谨慎评估严重性</x:v>
      </x:c>
      <x:c r="J242" s="53" t="str">
        <x:v>不得仅凭此词判模式；先全局急诊/复杂覆盖</x:v>
      </x:c>
    </x:row>
    <x:row r="243" ht="41" customHeight="1">
      <x:c r="A243" s="53" t="str">
        <x:v>K239</x:v>
      </x:c>
      <x:c r="B243" s="53" t="str">
        <x:v>R074</x:v>
      </x:c>
      <x:c r="C243" s="53" t="str">
        <x:v>7 AAA术后状态/并发症</x:v>
      </x:c>
      <x:c r="D243" s="53" t="str">
        <x:v>支架折曲/狭窄</x:v>
      </x:c>
      <x:c r="E243" s="53" t="str">
        <x:v>graft kinking</x:v>
      </x:c>
      <x:c r="F243" s="53" t="str">
        <x:v>复杂模式</x:v>
      </x:c>
      <x:c r="G243" s="53" t="str">
        <x:v>病种候选词（需上下文判定）</x:v>
      </x:c>
      <x:c r="H243" s="53" t="str">
        <x:v>EVAR且血流异常或影像明确折曲狭窄</x:v>
      </x:c>
      <x:c r="I243" s="53" t="str">
        <x:v>无血流影响的描述应谨慎评估严重性</x:v>
      </x:c>
      <x:c r="J243" s="53" t="str">
        <x:v>不得仅凭此词判模式；先全局急诊/复杂覆盖</x:v>
      </x:c>
    </x:row>
    <x:row r="244" ht="41" customHeight="1">
      <x:c r="A244" s="53" t="str">
        <x:v>K240</x:v>
      </x:c>
      <x:c r="B244" s="53" t="str">
        <x:v>R074</x:v>
      </x:c>
      <x:c r="C244" s="53" t="str">
        <x:v>7 AAA术后状态/并发症</x:v>
      </x:c>
      <x:c r="D244" s="53" t="str">
        <x:v>支架折曲/狭窄</x:v>
      </x:c>
      <x:c r="E244" s="53" t="str">
        <x:v>graft stenosis</x:v>
      </x:c>
      <x:c r="F244" s="53" t="str">
        <x:v>复杂模式</x:v>
      </x:c>
      <x:c r="G244" s="53" t="str">
        <x:v>病种候选词（需上下文判定）</x:v>
      </x:c>
      <x:c r="H244" s="53" t="str">
        <x:v>EVAR且血流异常或影像明确折曲狭窄</x:v>
      </x:c>
      <x:c r="I244" s="53" t="str">
        <x:v>无血流影响的描述应谨慎评估严重性</x:v>
      </x:c>
      <x:c r="J244" s="53" t="str">
        <x:v>不得仅凭此词判模式；先全局急诊/复杂覆盖</x:v>
      </x:c>
    </x:row>
    <x:row r="245" ht="41" customHeight="1">
      <x:c r="A245" s="53" t="str">
        <x:v>K241</x:v>
      </x:c>
      <x:c r="B245" s="53" t="str">
        <x:v>R075</x:v>
      </x:c>
      <x:c r="C245" s="53" t="str">
        <x:v>7 AAA术后状态/并发症</x:v>
      </x:c>
      <x:c r="D245" s="53" t="str">
        <x:v>支架血栓形成</x:v>
      </x:c>
      <x:c r="E245" s="53" t="str">
        <x:v>支架内血栓</x:v>
      </x:c>
      <x:c r="F245" s="53" t="str">
        <x:v>复杂模式</x:v>
      </x:c>
      <x:c r="G245" s="53" t="str">
        <x:v>病种候选词（需上下文判定）</x:v>
      </x:c>
      <x:c r="H245" s="53" t="str">
        <x:v>EVAR且明确支架血栓；症状/进展/血流影响需量化</x:v>
      </x:c>
      <x:c r="I245" s="53" t="str">
        <x:v>无症状稳定少量贴壁血栓不能等于闭塞</x:v>
      </x:c>
      <x:c r="J245" s="53" t="str">
        <x:v>不得仅凭此词判模式；先全局急诊/复杂覆盖</x:v>
      </x:c>
    </x:row>
    <x:row r="246" ht="41" customHeight="1">
      <x:c r="A246" s="53" t="str">
        <x:v>K242</x:v>
      </x:c>
      <x:c r="B246" s="53" t="str">
        <x:v>R075</x:v>
      </x:c>
      <x:c r="C246" s="53" t="str">
        <x:v>7 AAA术后状态/并发症</x:v>
      </x:c>
      <x:c r="D246" s="53" t="str">
        <x:v>支架血栓形成</x:v>
      </x:c>
      <x:c r="E246" s="53" t="str">
        <x:v>intragraft thrombus</x:v>
      </x:c>
      <x:c r="F246" s="53" t="str">
        <x:v>复杂模式</x:v>
      </x:c>
      <x:c r="G246" s="53" t="str">
        <x:v>病种候选词（需上下文判定）</x:v>
      </x:c>
      <x:c r="H246" s="53" t="str">
        <x:v>EVAR且明确支架血栓；症状/进展/血流影响需量化</x:v>
      </x:c>
      <x:c r="I246" s="53" t="str">
        <x:v>无症状稳定少量贴壁血栓不能等于闭塞</x:v>
      </x:c>
      <x:c r="J246" s="53" t="str">
        <x:v>不得仅凭此词判模式；先全局急诊/复杂覆盖</x:v>
      </x:c>
    </x:row>
    <x:row r="247" ht="41" customHeight="1">
      <x:c r="A247" s="53" t="str">
        <x:v>K243</x:v>
      </x:c>
      <x:c r="B247" s="53" t="str">
        <x:v>R075</x:v>
      </x:c>
      <x:c r="C247" s="53" t="str">
        <x:v>7 AAA术后状态/并发症</x:v>
      </x:c>
      <x:c r="D247" s="53" t="str">
        <x:v>支架血栓形成</x:v>
      </x:c>
      <x:c r="E247" s="53" t="str">
        <x:v>mural thrombus in stent graft</x:v>
      </x:c>
      <x:c r="F247" s="53" t="str">
        <x:v>复杂模式</x:v>
      </x:c>
      <x:c r="G247" s="53" t="str">
        <x:v>病种候选词（需上下文判定）</x:v>
      </x:c>
      <x:c r="H247" s="53" t="str">
        <x:v>EVAR且明确支架血栓；症状/进展/血流影响需量化</x:v>
      </x:c>
      <x:c r="I247" s="53" t="str">
        <x:v>无症状稳定少量贴壁血栓不能等于闭塞</x:v>
      </x:c>
      <x:c r="J247" s="53" t="str">
        <x:v>不得仅凭此词判模式；先全局急诊/复杂覆盖</x:v>
      </x:c>
    </x:row>
    <x:row r="248" ht="41" customHeight="1">
      <x:c r="A248" s="53" t="str">
        <x:v>K244</x:v>
      </x:c>
      <x:c r="B248" s="53" t="str">
        <x:v>R076</x:v>
      </x:c>
      <x:c r="C248" s="53" t="str">
        <x:v>7 AAA术后状态/并发症</x:v>
      </x:c>
      <x:c r="D248" s="53" t="str">
        <x:v>支架/人工血管闭塞</x:v>
      </x:c>
      <x:c r="E248" s="53" t="str">
        <x:v>移植物闭塞</x:v>
      </x:c>
      <x:c r="F248" s="53" t="str">
        <x:v>复杂模式</x:v>
      </x:c>
      <x:c r="G248" s="53" t="str">
        <x:v>病种候选词（需上下文判定）</x:v>
      </x:c>
      <x:c r="H248" s="53" t="str">
        <x:v>术后人工血管/支架部分或完全闭塞</x:v>
      </x:c>
      <x:c r="I248" s="53" t="str">
        <x:v>病史有'闭塞后已再通'且当前无复发</x:v>
      </x:c>
      <x:c r="J248" s="53" t="str">
        <x:v>不得仅凭此词判模式；先全局急诊/复杂覆盖</x:v>
      </x:c>
    </x:row>
    <x:row r="249" ht="41" customHeight="1">
      <x:c r="A249" s="53" t="str">
        <x:v>K245</x:v>
      </x:c>
      <x:c r="B249" s="53" t="str">
        <x:v>R076</x:v>
      </x:c>
      <x:c r="C249" s="53" t="str">
        <x:v>7 AAA术后状态/并发症</x:v>
      </x:c>
      <x:c r="D249" s="53" t="str">
        <x:v>支架/人工血管闭塞</x:v>
      </x:c>
      <x:c r="E249" s="53" t="str">
        <x:v>graft occlusion</x:v>
      </x:c>
      <x:c r="F249" s="53" t="str">
        <x:v>复杂模式</x:v>
      </x:c>
      <x:c r="G249" s="53" t="str">
        <x:v>病种候选词（需上下文判定）</x:v>
      </x:c>
      <x:c r="H249" s="53" t="str">
        <x:v>术后人工血管/支架部分或完全闭塞</x:v>
      </x:c>
      <x:c r="I249" s="53" t="str">
        <x:v>病史有'闭塞后已再通'且当前无复发</x:v>
      </x:c>
      <x:c r="J249" s="53" t="str">
        <x:v>不得仅凭此词判模式；先全局急诊/复杂覆盖</x:v>
      </x:c>
    </x:row>
    <x:row r="250" ht="41" customHeight="1">
      <x:c r="A250" s="53" t="str">
        <x:v>K246</x:v>
      </x:c>
      <x:c r="B250" s="53" t="str">
        <x:v>R076</x:v>
      </x:c>
      <x:c r="C250" s="53" t="str">
        <x:v>7 AAA术后状态/并发症</x:v>
      </x:c>
      <x:c r="D250" s="53" t="str">
        <x:v>支架/人工血管闭塞</x:v>
      </x:c>
      <x:c r="E250" s="53" t="str">
        <x:v>limb occlusion</x:v>
      </x:c>
      <x:c r="F250" s="53" t="str">
        <x:v>复杂模式</x:v>
      </x:c>
      <x:c r="G250" s="53" t="str">
        <x:v>病种候选词（需上下文判定）</x:v>
      </x:c>
      <x:c r="H250" s="53" t="str">
        <x:v>术后人工血管/支架部分或完全闭塞</x:v>
      </x:c>
      <x:c r="I250" s="53" t="str">
        <x:v>病史有'闭塞后已再通'且当前无复发</x:v>
      </x:c>
      <x:c r="J250" s="53" t="str">
        <x:v>不得仅凭此词判模式；先全局急诊/复杂覆盖</x:v>
      </x:c>
    </x:row>
    <x:row r="251" ht="41" customHeight="1">
      <x:c r="A251" s="53" t="str">
        <x:v>K247</x:v>
      </x:c>
      <x:c r="B251" s="53" t="str">
        <x:v>R076</x:v>
      </x:c>
      <x:c r="C251" s="53" t="str">
        <x:v>7 AAA术后状态/并发症</x:v>
      </x:c>
      <x:c r="D251" s="53" t="str">
        <x:v>支架/人工血管闭塞</x:v>
      </x:c>
      <x:c r="E251" s="53" t="str">
        <x:v>stent graft thrombosis</x:v>
      </x:c>
      <x:c r="F251" s="53" t="str">
        <x:v>复杂模式</x:v>
      </x:c>
      <x:c r="G251" s="53" t="str">
        <x:v>病种候选词（需上下文判定）</x:v>
      </x:c>
      <x:c r="H251" s="53" t="str">
        <x:v>术后人工血管/支架部分或完全闭塞</x:v>
      </x:c>
      <x:c r="I251" s="53" t="str">
        <x:v>病史有'闭塞后已再通'且当前无复发</x:v>
      </x:c>
      <x:c r="J251" s="53" t="str">
        <x:v>不得仅凭此词判模式；先全局急诊/复杂覆盖</x:v>
      </x:c>
    </x:row>
    <x:row r="252" ht="41" customHeight="1">
      <x:c r="A252" s="53" t="str">
        <x:v>K248</x:v>
      </x:c>
      <x:c r="B252" s="53" t="str">
        <x:v>R077</x:v>
      </x:c>
      <x:c r="C252" s="53" t="str">
        <x:v>7 AAA术后状态/并发症</x:v>
      </x:c>
      <x:c r="D252" s="53" t="str">
        <x:v>支架桥接分支闭塞</x:v>
      </x:c>
      <x:c r="E252" s="53" t="str">
        <x:v>肾动脉桥接支架闭塞</x:v>
      </x:c>
      <x:c r="F252" s="53" t="str">
        <x:v>复杂模式</x:v>
      </x:c>
      <x:c r="G252" s="53" t="str">
        <x:v>病种候选词（需上下文判定）</x:v>
      </x:c>
      <x:c r="H252" s="53" t="str">
        <x:v>既往F/BEVAR AND 桥接血管异常</x:v>
      </x:c>
      <x:c r="I252" s="53" t="str">
        <x:v>既往无复杂修复者</x:v>
      </x:c>
      <x:c r="J252" s="53" t="str">
        <x:v>不得仅凭此词判模式；先全局急诊/复杂覆盖</x:v>
      </x:c>
    </x:row>
    <x:row r="253" ht="41" customHeight="1">
      <x:c r="A253" s="53" t="str">
        <x:v>K249</x:v>
      </x:c>
      <x:c r="B253" s="53" t="str">
        <x:v>R077</x:v>
      </x:c>
      <x:c r="C253" s="53" t="str">
        <x:v>7 AAA术后状态/并发症</x:v>
      </x:c>
      <x:c r="D253" s="53" t="str">
        <x:v>支架桥接分支闭塞</x:v>
      </x:c>
      <x:c r="E253" s="53" t="str">
        <x:v>bridging stent occlusion</x:v>
      </x:c>
      <x:c r="F253" s="53" t="str">
        <x:v>复杂模式</x:v>
      </x:c>
      <x:c r="G253" s="53" t="str">
        <x:v>病种候选词（需上下文判定）</x:v>
      </x:c>
      <x:c r="H253" s="53" t="str">
        <x:v>既往F/BEVAR AND 桥接血管异常</x:v>
      </x:c>
      <x:c r="I253" s="53" t="str">
        <x:v>既往无复杂修复者</x:v>
      </x:c>
      <x:c r="J253" s="53" t="str">
        <x:v>不得仅凭此词判模式；先全局急诊/复杂覆盖</x:v>
      </x:c>
    </x:row>
    <x:row r="254" ht="41" customHeight="1">
      <x:c r="A254" s="53" t="str">
        <x:v>K250</x:v>
      </x:c>
      <x:c r="B254" s="53" t="str">
        <x:v>R077</x:v>
      </x:c>
      <x:c r="C254" s="53" t="str">
        <x:v>7 AAA术后状态/并发症</x:v>
      </x:c>
      <x:c r="D254" s="53" t="str">
        <x:v>支架桥接分支闭塞</x:v>
      </x:c>
      <x:c r="E254" s="53" t="str">
        <x:v>visceral branch occlusion</x:v>
      </x:c>
      <x:c r="F254" s="53" t="str">
        <x:v>复杂模式</x:v>
      </x:c>
      <x:c r="G254" s="53" t="str">
        <x:v>病种候选词（需上下文判定）</x:v>
      </x:c>
      <x:c r="H254" s="53" t="str">
        <x:v>既往F/BEVAR AND 桥接血管异常</x:v>
      </x:c>
      <x:c r="I254" s="53" t="str">
        <x:v>既往无复杂修复者</x:v>
      </x:c>
      <x:c r="J254" s="53" t="str">
        <x:v>不得仅凭此词判模式；先全局急诊/复杂覆盖</x:v>
      </x:c>
    </x:row>
    <x:row r="255" ht="41" customHeight="1">
      <x:c r="A255" s="53" t="str">
        <x:v>K251</x:v>
      </x:c>
      <x:c r="B255" s="53" t="str">
        <x:v>R078</x:v>
      </x:c>
      <x:c r="C255" s="53" t="str">
        <x:v>7 AAA术后状态/并发症</x:v>
      </x:c>
      <x:c r="D255" s="53" t="str">
        <x:v>开放修复术后吻合口旁动脉瘤</x:v>
      </x:c>
      <x:c r="E255" s="53" t="str">
        <x:v>吻合口旁动脉瘤</x:v>
      </x:c>
      <x:c r="F255" s="53" t="str">
        <x:v>复杂模式</x:v>
      </x:c>
      <x:c r="G255" s="53" t="str">
        <x:v>病种候选词（需上下文判定）</x:v>
      </x:c>
      <x:c r="H255" s="53" t="str">
        <x:v>既往OSR且吻合口附近动脉瘤样扩张</x:v>
      </x:c>
      <x:c r="I255" s="53" t="str">
        <x:v>原发性动脉瘤、无吻合口</x:v>
      </x:c>
      <x:c r="J255" s="53" t="str">
        <x:v>不得仅凭此词判模式；先全局急诊/复杂覆盖</x:v>
      </x:c>
    </x:row>
    <x:row r="256" ht="41" customHeight="1">
      <x:c r="A256" s="53" t="str">
        <x:v>K252</x:v>
      </x:c>
      <x:c r="B256" s="53" t="str">
        <x:v>R078</x:v>
      </x:c>
      <x:c r="C256" s="53" t="str">
        <x:v>7 AAA术后状态/并发症</x:v>
      </x:c>
      <x:c r="D256" s="53" t="str">
        <x:v>开放修复术后吻合口旁动脉瘤</x:v>
      </x:c>
      <x:c r="E256" s="53" t="str">
        <x:v>para-anastomotic aneurysm</x:v>
      </x:c>
      <x:c r="F256" s="53" t="str">
        <x:v>复杂模式</x:v>
      </x:c>
      <x:c r="G256" s="53" t="str">
        <x:v>病种候选词（需上下文判定）</x:v>
      </x:c>
      <x:c r="H256" s="53" t="str">
        <x:v>既往OSR且吻合口附近动脉瘤样扩张</x:v>
      </x:c>
      <x:c r="I256" s="53" t="str">
        <x:v>原发性动脉瘤、无吻合口</x:v>
      </x:c>
      <x:c r="J256" s="53" t="str">
        <x:v>不得仅凭此词判模式；先全局急诊/复杂覆盖</x:v>
      </x:c>
    </x:row>
    <x:row r="257" ht="41" customHeight="1">
      <x:c r="A257" s="53" t="str">
        <x:v>K253</x:v>
      </x:c>
      <x:c r="B257" s="53" t="str">
        <x:v>R078</x:v>
      </x:c>
      <x:c r="C257" s="53" t="str">
        <x:v>7 AAA术后状态/并发症</x:v>
      </x:c>
      <x:c r="D257" s="53" t="str">
        <x:v>开放修复术后吻合口旁动脉瘤</x:v>
      </x:c>
      <x:c r="E257" s="53" t="str">
        <x:v>吻合口旁扩张</x:v>
      </x:c>
      <x:c r="F257" s="53" t="str">
        <x:v>复杂模式</x:v>
      </x:c>
      <x:c r="G257" s="53" t="str">
        <x:v>病种候选词（需上下文判定）</x:v>
      </x:c>
      <x:c r="H257" s="53" t="str">
        <x:v>既往OSR且吻合口附近动脉瘤样扩张</x:v>
      </x:c>
      <x:c r="I257" s="53" t="str">
        <x:v>原发性动脉瘤、无吻合口</x:v>
      </x:c>
      <x:c r="J257" s="53" t="str">
        <x:v>不得仅凭此词判模式；先全局急诊/复杂覆盖</x:v>
      </x:c>
    </x:row>
    <x:row r="258" ht="41" customHeight="1">
      <x:c r="A258" s="53" t="str">
        <x:v>K254</x:v>
      </x:c>
      <x:c r="B258" s="53" t="str">
        <x:v>R079</x:v>
      </x:c>
      <x:c r="C258" s="53" t="str">
        <x:v>7 AAA术后状态/并发症</x:v>
      </x:c>
      <x:c r="D258" s="53" t="str">
        <x:v>吻合口假性动脉瘤</x:v>
      </x:c>
      <x:c r="E258" s="53" t="str">
        <x:v>吻合口假性动脉瘤</x:v>
      </x:c>
      <x:c r="F258" s="53" t="str">
        <x:v>复杂模式</x:v>
      </x:c>
      <x:c r="G258" s="53" t="str">
        <x:v>病种候选词（需上下文判定）</x:v>
      </x:c>
      <x:c r="H258" s="53" t="str">
        <x:v>既往OSR/血管吻合 AND 当前假性瘤证据</x:v>
      </x:c>
      <x:c r="I258" s="53" t="str">
        <x:v>非吻合口来源的原生假性瘤</x:v>
      </x:c>
      <x:c r="J258" s="53" t="str">
        <x:v>不得仅凭此词判模式；先全局急诊/复杂覆盖</x:v>
      </x:c>
    </x:row>
    <x:row r="259" ht="41" customHeight="1">
      <x:c r="A259" s="53" t="str">
        <x:v>K255</x:v>
      </x:c>
      <x:c r="B259" s="53" t="str">
        <x:v>R079</x:v>
      </x:c>
      <x:c r="C259" s="53" t="str">
        <x:v>7 AAA术后状态/并发症</x:v>
      </x:c>
      <x:c r="D259" s="53" t="str">
        <x:v>吻合口假性动脉瘤</x:v>
      </x:c>
      <x:c r="E259" s="53" t="str">
        <x:v>anastomotic pseudoaneurysm</x:v>
      </x:c>
      <x:c r="F259" s="53" t="str">
        <x:v>复杂模式</x:v>
      </x:c>
      <x:c r="G259" s="53" t="str">
        <x:v>病种候选词（需上下文判定）</x:v>
      </x:c>
      <x:c r="H259" s="53" t="str">
        <x:v>既往OSR/血管吻合 AND 当前假性瘤证据</x:v>
      </x:c>
      <x:c r="I259" s="53" t="str">
        <x:v>非吻合口来源的原生假性瘤</x:v>
      </x:c>
      <x:c r="J259" s="53" t="str">
        <x:v>不得仅凭此词判模式；先全局急诊/复杂覆盖</x:v>
      </x:c>
    </x:row>
    <x:row r="260" ht="41" customHeight="1">
      <x:c r="A260" s="53" t="str">
        <x:v>K256</x:v>
      </x:c>
      <x:c r="B260" s="53" t="str">
        <x:v>R079</x:v>
      </x:c>
      <x:c r="C260" s="53" t="str">
        <x:v>7 AAA术后状态/并发症</x:v>
      </x:c>
      <x:c r="D260" s="53" t="str">
        <x:v>吻合口假性动脉瘤</x:v>
      </x:c>
      <x:c r="E260" s="53" t="str">
        <x:v>吻合口漏瘤</x:v>
      </x:c>
      <x:c r="F260" s="53" t="str">
        <x:v>复杂模式</x:v>
      </x:c>
      <x:c r="G260" s="53" t="str">
        <x:v>病种候选词（需上下文判定）</x:v>
      </x:c>
      <x:c r="H260" s="53" t="str">
        <x:v>既往OSR/血管吻合 AND 当前假性瘤证据</x:v>
      </x:c>
      <x:c r="I260" s="53" t="str">
        <x:v>非吻合口来源的原生假性瘤</x:v>
      </x:c>
      <x:c r="J260" s="53" t="str">
        <x:v>不得仅凭此词判模式；先全局急诊/复杂覆盖</x:v>
      </x:c>
    </x:row>
    <x:row r="261" ht="41" customHeight="1">
      <x:c r="A261" s="53" t="str">
        <x:v>K257</x:v>
      </x:c>
      <x:c r="B261" s="53" t="str">
        <x:v>R080</x:v>
      </x:c>
      <x:c r="C261" s="53" t="str">
        <x:v>7 AAA术后状态/并发症</x:v>
      </x:c>
      <x:c r="D261" s="53" t="str">
        <x:v>开放修复人工血管狭窄</x:v>
      </x:c>
      <x:c r="E261" s="53" t="str">
        <x:v>人工血管狭窄</x:v>
      </x:c>
      <x:c r="F261" s="53" t="str">
        <x:v>复杂模式</x:v>
      </x:c>
      <x:c r="G261" s="53" t="str">
        <x:v>病种候选词（需上下文判定）</x:v>
      </x:c>
      <x:c r="H261" s="53" t="str">
        <x:v>既往OSR AND 当前移植物狭窄</x:v>
      </x:c>
      <x:c r="I261" s="53" t="str">
        <x:v>单纯腹主动脉原生狭窄</x:v>
      </x:c>
      <x:c r="J261" s="53" t="str">
        <x:v>不得仅凭此词判模式；先全局急诊/复杂覆盖</x:v>
      </x:c>
    </x:row>
    <x:row r="262" ht="41" customHeight="1">
      <x:c r="A262" s="53" t="str">
        <x:v>K258</x:v>
      </x:c>
      <x:c r="B262" s="53" t="str">
        <x:v>R080</x:v>
      </x:c>
      <x:c r="C262" s="53" t="str">
        <x:v>7 AAA术后状态/并发症</x:v>
      </x:c>
      <x:c r="D262" s="53" t="str">
        <x:v>开放修复人工血管狭窄</x:v>
      </x:c>
      <x:c r="E262" s="53" t="str">
        <x:v>open graft stenosis</x:v>
      </x:c>
      <x:c r="F262" s="53" t="str">
        <x:v>复杂模式</x:v>
      </x:c>
      <x:c r="G262" s="53" t="str">
        <x:v>病种候选词（需上下文判定）</x:v>
      </x:c>
      <x:c r="H262" s="53" t="str">
        <x:v>既往OSR AND 当前移植物狭窄</x:v>
      </x:c>
      <x:c r="I262" s="53" t="str">
        <x:v>单纯腹主动脉原生狭窄</x:v>
      </x:c>
      <x:c r="J262" s="53" t="str">
        <x:v>不得仅凭此词判模式；先全局急诊/复杂覆盖</x:v>
      </x:c>
    </x:row>
    <x:row r="263" ht="41" customHeight="1">
      <x:c r="A263" s="53" t="str">
        <x:v>K259</x:v>
      </x:c>
      <x:c r="B263" s="53" t="str">
        <x:v>R080</x:v>
      </x:c>
      <x:c r="C263" s="53" t="str">
        <x:v>7 AAA术后状态/并发症</x:v>
      </x:c>
      <x:c r="D263" s="53" t="str">
        <x:v>开放修复人工血管狭窄</x:v>
      </x:c>
      <x:c r="E263" s="53" t="str">
        <x:v>OSR graft stenosis</x:v>
      </x:c>
      <x:c r="F263" s="53" t="str">
        <x:v>复杂模式</x:v>
      </x:c>
      <x:c r="G263" s="53" t="str">
        <x:v>病种候选词（需上下文判定）</x:v>
      </x:c>
      <x:c r="H263" s="53" t="str">
        <x:v>既往OSR AND 当前移植物狭窄</x:v>
      </x:c>
      <x:c r="I263" s="53" t="str">
        <x:v>单纯腹主动脉原生狭窄</x:v>
      </x:c>
      <x:c r="J263" s="53" t="str">
        <x:v>不得仅凭此词判模式；先全局急诊/复杂覆盖</x:v>
      </x:c>
    </x:row>
    <x:row r="264" ht="41" customHeight="1">
      <x:c r="A264" s="53" t="str">
        <x:v>K260</x:v>
      </x:c>
      <x:c r="B264" s="53" t="str">
        <x:v>R081</x:v>
      </x:c>
      <x:c r="C264" s="53" t="str">
        <x:v>7 AAA术后状态/并发症</x:v>
      </x:c>
      <x:c r="D264" s="53" t="str">
        <x:v>术后移植物感染</x:v>
      </x:c>
      <x:c r="E264" s="53" t="str">
        <x:v>术后移植物感染</x:v>
      </x:c>
      <x:c r="F264" s="53" t="str">
        <x:v>复杂模式</x:v>
      </x:c>
      <x:c r="G264" s="53" t="str">
        <x:v>病种候选词（需上下文判定）</x:v>
      </x:c>
      <x:c r="H264" s="53" t="str">
        <x:v>主动脉/髂动脉重建史 AND 移植物感染证据</x:v>
      </x:c>
      <x:c r="I264" s="53" t="str">
        <x:v>单纯切口浅表感染未涉及移植物</x:v>
      </x:c>
      <x:c r="J264" s="53" t="str">
        <x:v>不得仅凭此词判模式；先全局急诊/复杂覆盖</x:v>
      </x:c>
    </x:row>
    <x:row r="265" ht="41" customHeight="1">
      <x:c r="A265" s="53" t="str">
        <x:v>K261</x:v>
      </x:c>
      <x:c r="B265" s="53" t="str">
        <x:v>R081</x:v>
      </x:c>
      <x:c r="C265" s="53" t="str">
        <x:v>7 AAA术后状态/并发症</x:v>
      </x:c>
      <x:c r="D265" s="53" t="str">
        <x:v>术后移植物感染</x:v>
      </x:c>
      <x:c r="E265" s="53" t="str">
        <x:v>prosthetic aortic graft infection</x:v>
      </x:c>
      <x:c r="F265" s="53" t="str">
        <x:v>复杂模式</x:v>
      </x:c>
      <x:c r="G265" s="53" t="str">
        <x:v>病种候选词（需上下文判定）</x:v>
      </x:c>
      <x:c r="H265" s="53" t="str">
        <x:v>主动脉/髂动脉重建史 AND 移植物感染证据</x:v>
      </x:c>
      <x:c r="I265" s="53" t="str">
        <x:v>单纯切口浅表感染未涉及移植物</x:v>
      </x:c>
      <x:c r="J265" s="53" t="str">
        <x:v>不得仅凭此词判模式；先全局急诊/复杂覆盖</x:v>
      </x:c>
    </x:row>
    <x:row r="266" ht="41" customHeight="1">
      <x:c r="A266" s="53" t="str">
        <x:v>K262</x:v>
      </x:c>
      <x:c r="B266" s="53" t="str">
        <x:v>R081</x:v>
      </x:c>
      <x:c r="C266" s="53" t="str">
        <x:v>7 AAA术后状态/并发症</x:v>
      </x:c>
      <x:c r="D266" s="53" t="str">
        <x:v>术后移植物感染</x:v>
      </x:c>
      <x:c r="E266" s="53" t="str">
        <x:v>endograft sepsis</x:v>
      </x:c>
      <x:c r="F266" s="53" t="str">
        <x:v>复杂模式</x:v>
      </x:c>
      <x:c r="G266" s="53" t="str">
        <x:v>病种候选词（需上下文判定）</x:v>
      </x:c>
      <x:c r="H266" s="53" t="str">
        <x:v>主动脉/髂动脉重建史 AND 移植物感染证据</x:v>
      </x:c>
      <x:c r="I266" s="53" t="str">
        <x:v>单纯切口浅表感染未涉及移植物</x:v>
      </x:c>
      <x:c r="J266" s="53" t="str">
        <x:v>不得仅凭此词判模式；先全局急诊/复杂覆盖</x:v>
      </x:c>
    </x:row>
    <x:row r="267" ht="41" customHeight="1">
      <x:c r="A267" s="53" t="str">
        <x:v>K263</x:v>
      </x:c>
      <x:c r="B267" s="53" t="str">
        <x:v>R082</x:v>
      </x:c>
      <x:c r="C267" s="53" t="str">
        <x:v>7 AAA术后状态/并发症</x:v>
      </x:c>
      <x:c r="D267" s="53" t="str">
        <x:v>继发性移植物肠瘘</x:v>
      </x:c>
      <x:c r="E267" s="53" t="str">
        <x:v>继发性主动脉肠瘘</x:v>
      </x:c>
      <x:c r="F267" s="53" t="str">
        <x:v>复杂模式</x:v>
      </x:c>
      <x:c r="G267" s="53" t="str">
        <x:v>病种候选词（需上下文判定）</x:v>
      </x:c>
      <x:c r="H267" s="53" t="str">
        <x:v>既往主动脉重建 AND 瘘可疑/确诊</x:v>
      </x:c>
      <x:c r="I267" s="53" t="str">
        <x:v>无重建史归原发性肠瘘</x:v>
      </x:c>
      <x:c r="J267" s="53" t="str">
        <x:v>不得仅凭此词判模式；先全局急诊/复杂覆盖</x:v>
      </x:c>
    </x:row>
    <x:row r="268" ht="41" customHeight="1">
      <x:c r="A268" s="53" t="str">
        <x:v>K264</x:v>
      </x:c>
      <x:c r="B268" s="53" t="str">
        <x:v>R082</x:v>
      </x:c>
      <x:c r="C268" s="53" t="str">
        <x:v>7 AAA术后状态/并发症</x:v>
      </x:c>
      <x:c r="D268" s="53" t="str">
        <x:v>继发性移植物肠瘘</x:v>
      </x:c>
      <x:c r="E268" s="53" t="str">
        <x:v>secondary aortoenteric fistula</x:v>
      </x:c>
      <x:c r="F268" s="53" t="str">
        <x:v>复杂模式</x:v>
      </x:c>
      <x:c r="G268" s="53" t="str">
        <x:v>病种候选词（需上下文判定）</x:v>
      </x:c>
      <x:c r="H268" s="53" t="str">
        <x:v>既往主动脉重建 AND 瘘可疑/确诊</x:v>
      </x:c>
      <x:c r="I268" s="53" t="str">
        <x:v>无重建史归原发性肠瘘</x:v>
      </x:c>
      <x:c r="J268" s="53" t="str">
        <x:v>不得仅凭此词判模式；先全局急诊/复杂覆盖</x:v>
      </x:c>
    </x:row>
    <x:row r="269" ht="41" customHeight="1">
      <x:c r="A269" s="53" t="str">
        <x:v>K265</x:v>
      </x:c>
      <x:c r="B269" s="53" t="str">
        <x:v>R082</x:v>
      </x:c>
      <x:c r="C269" s="53" t="str">
        <x:v>7 AAA术后状态/并发症</x:v>
      </x:c>
      <x:c r="D269" s="53" t="str">
        <x:v>继发性移植物肠瘘</x:v>
      </x:c>
      <x:c r="E269" s="53" t="str">
        <x:v>graft-enteric fistula</x:v>
      </x:c>
      <x:c r="F269" s="53" t="str">
        <x:v>复杂模式</x:v>
      </x:c>
      <x:c r="G269" s="53" t="str">
        <x:v>病种候选词（需上下文判定）</x:v>
      </x:c>
      <x:c r="H269" s="53" t="str">
        <x:v>既往主动脉重建 AND 瘘可疑/确诊</x:v>
      </x:c>
      <x:c r="I269" s="53" t="str">
        <x:v>无重建史归原发性肠瘘</x:v>
      </x:c>
      <x:c r="J269" s="53" t="str">
        <x:v>不得仅凭此词判模式；先全局急诊/复杂覆盖</x:v>
      </x:c>
    </x:row>
    <x:row r="270" ht="41" customHeight="1">
      <x:c r="A270" s="53" t="str">
        <x:v>K266</x:v>
      </x:c>
      <x:c r="B270" s="53" t="str">
        <x:v>R083</x:v>
      </x:c>
      <x:c r="C270" s="53" t="str">
        <x:v>7 AAA术后状态/并发症</x:v>
      </x:c>
      <x:c r="D270" s="53" t="str">
        <x:v>术后再次破裂</x:v>
      </x:c>
      <x:c r="E270" s="53" t="str">
        <x:v>EVAR后再次破裂</x:v>
      </x:c>
      <x:c r="F270" s="53" t="str">
        <x:v>急诊模式</x:v>
      </x:c>
      <x:c r="G270" s="53" t="str">
        <x:v>病种候选词（需上下文判定）</x:v>
      </x:c>
      <x:c r="H270" s="53" t="str">
        <x:v>既往主动脉修复 AND 当前破裂证据</x:v>
      </x:c>
      <x:c r="I270" s="53" t="str">
        <x:v>仅术前破裂历史，目前无再破裂</x:v>
      </x:c>
      <x:c r="J270" s="53" t="str">
        <x:v>不得仅凭此词判模式；先全局急诊/复杂覆盖</x:v>
      </x:c>
    </x:row>
    <x:row r="271" ht="41" customHeight="1">
      <x:c r="A271" s="53" t="str">
        <x:v>K267</x:v>
      </x:c>
      <x:c r="B271" s="53" t="str">
        <x:v>R083</x:v>
      </x:c>
      <x:c r="C271" s="53" t="str">
        <x:v>7 AAA术后状态/并发症</x:v>
      </x:c>
      <x:c r="D271" s="53" t="str">
        <x:v>术后再次破裂</x:v>
      </x:c>
      <x:c r="E271" s="53" t="str">
        <x:v>postoperative aneurysm rupture</x:v>
      </x:c>
      <x:c r="F271" s="53" t="str">
        <x:v>急诊模式</x:v>
      </x:c>
      <x:c r="G271" s="53" t="str">
        <x:v>病种候选词（需上下文判定）</x:v>
      </x:c>
      <x:c r="H271" s="53" t="str">
        <x:v>既往主动脉修复 AND 当前破裂证据</x:v>
      </x:c>
      <x:c r="I271" s="53" t="str">
        <x:v>仅术前破裂历史，目前无再破裂</x:v>
      </x:c>
      <x:c r="J271" s="53" t="str">
        <x:v>不得仅凭此词判模式；先全局急诊/复杂覆盖</x:v>
      </x:c>
    </x:row>
    <x:row r="272" ht="41" customHeight="1">
      <x:c r="A272" s="53" t="str">
        <x:v>K268</x:v>
      </x:c>
      <x:c r="B272" s="53" t="str">
        <x:v>R083</x:v>
      </x:c>
      <x:c r="C272" s="53" t="str">
        <x:v>7 AAA术后状态/并发症</x:v>
      </x:c>
      <x:c r="D272" s="53" t="str">
        <x:v>术后再次破裂</x:v>
      </x:c>
      <x:c r="E272" s="53" t="str">
        <x:v>late aortic rupture after EVAR</x:v>
      </x:c>
      <x:c r="F272" s="53" t="str">
        <x:v>急诊模式</x:v>
      </x:c>
      <x:c r="G272" s="53" t="str">
        <x:v>病种候选词（需上下文判定）</x:v>
      </x:c>
      <x:c r="H272" s="53" t="str">
        <x:v>既往主动脉修复 AND 当前破裂证据</x:v>
      </x:c>
      <x:c r="I272" s="53" t="str">
        <x:v>仅术前破裂历史，目前无再破裂</x:v>
      </x:c>
      <x:c r="J272" s="53" t="str">
        <x:v>不得仅凭此词判模式；先全局急诊/复杂覆盖</x:v>
      </x:c>
    </x:row>
    <x:row r="273" ht="41" customHeight="1">
      <x:c r="A273" s="53" t="str">
        <x:v>K269</x:v>
      </x:c>
      <x:c r="B273" s="53" t="str">
        <x:v>R084</x:v>
      </x:c>
      <x:c r="C273" s="53" t="str">
        <x:v>7 AAA术后状态/并发症</x:v>
      </x:c>
      <x:c r="D273" s="53" t="str">
        <x:v>术后出血/活动性失血</x:v>
      </x:c>
      <x:c r="E273" s="53" t="str">
        <x:v>术后腹腔出血</x:v>
      </x:c>
      <x:c r="F273" s="53" t="str">
        <x:v>急诊模式</x:v>
      </x:c>
      <x:c r="G273" s="53" t="str">
        <x:v>病种候选词（需上下文判定）</x:v>
      </x:c>
      <x:c r="H273" s="53" t="str">
        <x:v>术后急性期且活动性大出血或循环不稳</x:v>
      </x:c>
      <x:c r="I273" s="53" t="str">
        <x:v>仅正常少量术后积液或术中已控制出血</x:v>
      </x:c>
      <x:c r="J273" s="53" t="str">
        <x:v>不得仅凭此词判模式；先全局急诊/复杂覆盖</x:v>
      </x:c>
    </x:row>
    <x:row r="274" ht="41" customHeight="1">
      <x:c r="A274" s="53" t="str">
        <x:v>K270</x:v>
      </x:c>
      <x:c r="B274" s="53" t="str">
        <x:v>R084</x:v>
      </x:c>
      <x:c r="C274" s="53" t="str">
        <x:v>7 AAA术后状态/并发症</x:v>
      </x:c>
      <x:c r="D274" s="53" t="str">
        <x:v>术后出血/活动性失血</x:v>
      </x:c>
      <x:c r="E274" s="53" t="str">
        <x:v>术后活动性出血</x:v>
      </x:c>
      <x:c r="F274" s="53" t="str">
        <x:v>急诊模式</x:v>
      </x:c>
      <x:c r="G274" s="53" t="str">
        <x:v>病种候选词（需上下文判定）</x:v>
      </x:c>
      <x:c r="H274" s="53" t="str">
        <x:v>术后急性期且活动性大出血或循环不稳</x:v>
      </x:c>
      <x:c r="I274" s="53" t="str">
        <x:v>仅正常少量术后积液或术中已控制出血</x:v>
      </x:c>
      <x:c r="J274" s="53" t="str">
        <x:v>不得仅凭此词判模式；先全局急诊/复杂覆盖</x:v>
      </x:c>
    </x:row>
    <x:row r="275" ht="41" customHeight="1">
      <x:c r="A275" s="53" t="str">
        <x:v>K271</x:v>
      </x:c>
      <x:c r="B275" s="53" t="str">
        <x:v>R084</x:v>
      </x:c>
      <x:c r="C275" s="53" t="str">
        <x:v>7 AAA术后状态/并发症</x:v>
      </x:c>
      <x:c r="D275" s="53" t="str">
        <x:v>术后出血/活动性失血</x:v>
      </x:c>
      <x:c r="E275" s="53" t="str">
        <x:v>postoperative active bleeding</x:v>
      </x:c>
      <x:c r="F275" s="53" t="str">
        <x:v>急诊模式</x:v>
      </x:c>
      <x:c r="G275" s="53" t="str">
        <x:v>病种候选词（需上下文判定）</x:v>
      </x:c>
      <x:c r="H275" s="53" t="str">
        <x:v>术后急性期且活动性大出血或循环不稳</x:v>
      </x:c>
      <x:c r="I275" s="53" t="str">
        <x:v>仅正常少量术后积液或术中已控制出血</x:v>
      </x:c>
      <x:c r="J275" s="53" t="str">
        <x:v>不得仅凭此词判模式；先全局急诊/复杂覆盖</x:v>
      </x:c>
    </x:row>
    <x:row r="276" ht="41" customHeight="1">
      <x:c r="A276" s="53" t="str">
        <x:v>K272</x:v>
      </x:c>
      <x:c r="B276" s="53" t="str">
        <x:v>R085</x:v>
      </x:c>
      <x:c r="C276" s="53" t="str">
        <x:v>7 AAA术后状态/并发症</x:v>
      </x:c>
      <x:c r="D276" s="53" t="str">
        <x:v>腹腔高压/腹腔间隔室综合征</x:v>
      </x:c>
      <x:c r="E276" s="53" t="str">
        <x:v>腹腔间隔室综合征</x:v>
      </x:c>
      <x:c r="F276" s="53" t="str">
        <x:v>急诊模式</x:v>
      </x:c>
      <x:c r="G276" s="53" t="str">
        <x:v>病种候选词（需上下文判定）</x:v>
      </x:c>
      <x:c r="H276" s="53" t="str">
        <x:v>AAA修复围术期且当前ACS或高度怀疑</x:v>
      </x:c>
      <x:c r="I276" s="53" t="str">
        <x:v>非急性既往高腹压</x:v>
      </x:c>
      <x:c r="J276" s="53" t="str">
        <x:v>不得仅凭此词判模式；先全局急诊/复杂覆盖</x:v>
      </x:c>
    </x:row>
    <x:row r="277" ht="41" customHeight="1">
      <x:c r="A277" s="53" t="str">
        <x:v>K273</x:v>
      </x:c>
      <x:c r="B277" s="53" t="str">
        <x:v>R085</x:v>
      </x:c>
      <x:c r="C277" s="53" t="str">
        <x:v>7 AAA术后状态/并发症</x:v>
      </x:c>
      <x:c r="D277" s="53" t="str">
        <x:v>腹腔高压/腹腔间隔室综合征</x:v>
      </x:c>
      <x:c r="E277" s="53" t="str">
        <x:v>abdominal compartment syndrome</x:v>
      </x:c>
      <x:c r="F277" s="53" t="str">
        <x:v>急诊模式</x:v>
      </x:c>
      <x:c r="G277" s="53" t="str">
        <x:v>病种候选词（需上下文判定）</x:v>
      </x:c>
      <x:c r="H277" s="53" t="str">
        <x:v>AAA修复围术期且当前ACS或高度怀疑</x:v>
      </x:c>
      <x:c r="I277" s="53" t="str">
        <x:v>非急性既往高腹压</x:v>
      </x:c>
      <x:c r="J277" s="53" t="str">
        <x:v>不得仅凭此词判模式；先全局急诊/复杂覆盖</x:v>
      </x:c>
    </x:row>
    <x:row r="278" ht="41" customHeight="1">
      <x:c r="A278" s="53" t="str">
        <x:v>K274</x:v>
      </x:c>
      <x:c r="B278" s="53" t="str">
        <x:v>R085</x:v>
      </x:c>
      <x:c r="C278" s="53" t="str">
        <x:v>7 AAA术后状态/并发症</x:v>
      </x:c>
      <x:c r="D278" s="53" t="str">
        <x:v>腹腔高压/腹腔间隔室综合征</x:v>
      </x:c>
      <x:c r="E278" s="53" t="str">
        <x:v>ACS after AAA repair</x:v>
      </x:c>
      <x:c r="F278" s="53" t="str">
        <x:v>急诊模式</x:v>
      </x:c>
      <x:c r="G278" s="53" t="str">
        <x:v>病种候选词（需上下文判定）</x:v>
      </x:c>
      <x:c r="H278" s="53" t="str">
        <x:v>AAA修复围术期且当前ACS或高度怀疑</x:v>
      </x:c>
      <x:c r="I278" s="53" t="str">
        <x:v>非急性既往高腹压</x:v>
      </x:c>
      <x:c r="J278" s="53" t="str">
        <x:v>不得仅凭此词判模式；先全局急诊/复杂覆盖</x:v>
      </x:c>
    </x:row>
    <x:row r="279" ht="41" customHeight="1">
      <x:c r="A279" s="53" t="str">
        <x:v>K275</x:v>
      </x:c>
      <x:c r="B279" s="53" t="str">
        <x:v>R086</x:v>
      </x:c>
      <x:c r="C279" s="53" t="str">
        <x:v>7 AAA术后状态/并发症</x:v>
      </x:c>
      <x:c r="D279" s="53" t="str">
        <x:v>结肠或肠系膜缺血</x:v>
      </x:c>
      <x:c r="E279" s="53" t="str">
        <x:v>术后结肠缺血</x:v>
      </x:c>
      <x:c r="F279" s="53" t="str">
        <x:v>急诊模式</x:v>
      </x:c>
      <x:c r="G279" s="53" t="str">
        <x:v>病种候选词（需上下文判定）</x:v>
      </x:c>
      <x:c r="H279" s="53" t="str">
        <x:v>既往AAA修复且急性肠缺血临床或影像疑似</x:v>
      </x:c>
      <x:c r="I279" s="53" t="str">
        <x:v>非缺血性肠炎既有明确证据</x:v>
      </x:c>
      <x:c r="J279" s="53" t="str">
        <x:v>不得仅凭此词判模式；先全局急诊/复杂覆盖</x:v>
      </x:c>
    </x:row>
    <x:row r="280" ht="41" customHeight="1">
      <x:c r="A280" s="53" t="str">
        <x:v>K276</x:v>
      </x:c>
      <x:c r="B280" s="53" t="str">
        <x:v>R086</x:v>
      </x:c>
      <x:c r="C280" s="53" t="str">
        <x:v>7 AAA术后状态/并发症</x:v>
      </x:c>
      <x:c r="D280" s="53" t="str">
        <x:v>结肠或肠系膜缺血</x:v>
      </x:c>
      <x:c r="E280" s="53" t="str">
        <x:v>colonic ischemia</x:v>
      </x:c>
      <x:c r="F280" s="53" t="str">
        <x:v>急诊模式</x:v>
      </x:c>
      <x:c r="G280" s="53" t="str">
        <x:v>病种候选词（需上下文判定）</x:v>
      </x:c>
      <x:c r="H280" s="53" t="str">
        <x:v>既往AAA修复且急性肠缺血临床或影像疑似</x:v>
      </x:c>
      <x:c r="I280" s="53" t="str">
        <x:v>非缺血性肠炎既有明确证据</x:v>
      </x:c>
      <x:c r="J280" s="53" t="str">
        <x:v>不得仅凭此词判模式；先全局急诊/复杂覆盖</x:v>
      </x:c>
    </x:row>
    <x:row r="281" ht="41" customHeight="1">
      <x:c r="A281" s="53" t="str">
        <x:v>K277</x:v>
      </x:c>
      <x:c r="B281" s="53" t="str">
        <x:v>R086</x:v>
      </x:c>
      <x:c r="C281" s="53" t="str">
        <x:v>7 AAA术后状态/并发症</x:v>
      </x:c>
      <x:c r="D281" s="53" t="str">
        <x:v>结肠或肠系膜缺血</x:v>
      </x:c>
      <x:c r="E281" s="53" t="str">
        <x:v>mesenteric ischemia after AAA repair</x:v>
      </x:c>
      <x:c r="F281" s="53" t="str">
        <x:v>急诊模式</x:v>
      </x:c>
      <x:c r="G281" s="53" t="str">
        <x:v>病种候选词（需上下文判定）</x:v>
      </x:c>
      <x:c r="H281" s="53" t="str">
        <x:v>既往AAA修复且急性肠缺血临床或影像疑似</x:v>
      </x:c>
      <x:c r="I281" s="53" t="str">
        <x:v>非缺血性肠炎既有明确证据</x:v>
      </x:c>
      <x:c r="J281" s="53" t="str">
        <x:v>不得仅凭此词判模式；先全局急诊/复杂覆盖</x:v>
      </x:c>
    </x:row>
    <x:row r="282" ht="41" customHeight="1">
      <x:c r="A282" s="53" t="str">
        <x:v>K278</x:v>
      </x:c>
      <x:c r="B282" s="53" t="str">
        <x:v>R087</x:v>
      </x:c>
      <x:c r="C282" s="53" t="str">
        <x:v>7 AAA术后状态/并发症</x:v>
      </x:c>
      <x:c r="D282" s="53" t="str">
        <x:v>术后急性下肢缺血</x:v>
      </x:c>
      <x:c r="E282" s="53" t="str">
        <x:v>术后急性下肢缺血</x:v>
      </x:c>
      <x:c r="F282" s="53" t="str">
        <x:v>急诊模式</x:v>
      </x:c>
      <x:c r="G282" s="53" t="str">
        <x:v>病种候选词（需上下文判定）</x:v>
      </x:c>
      <x:c r="H282" s="53" t="str">
        <x:v>术后急性肢体缺血客观症状或临床高度怀疑</x:v>
      </x:c>
      <x:c r="I282" s="53" t="str">
        <x:v>仅慢性稳定跛行</x:v>
      </x:c>
      <x:c r="J282" s="53" t="str">
        <x:v>不得仅凭此词判模式；先全局急诊/复杂覆盖</x:v>
      </x:c>
    </x:row>
    <x:row r="283" ht="41" customHeight="1">
      <x:c r="A283" s="53" t="str">
        <x:v>K279</x:v>
      </x:c>
      <x:c r="B283" s="53" t="str">
        <x:v>R087</x:v>
      </x:c>
      <x:c r="C283" s="53" t="str">
        <x:v>7 AAA术后状态/并发症</x:v>
      </x:c>
      <x:c r="D283" s="53" t="str">
        <x:v>术后急性下肢缺血</x:v>
      </x:c>
      <x:c r="E283" s="53" t="str">
        <x:v>acute limb ischaemia post-EVAR</x:v>
      </x:c>
      <x:c r="F283" s="53" t="str">
        <x:v>急诊模式</x:v>
      </x:c>
      <x:c r="G283" s="53" t="str">
        <x:v>病种候选词（需上下文判定）</x:v>
      </x:c>
      <x:c r="H283" s="53" t="str">
        <x:v>术后急性肢体缺血客观症状或临床高度怀疑</x:v>
      </x:c>
      <x:c r="I283" s="53" t="str">
        <x:v>仅慢性稳定跛行</x:v>
      </x:c>
      <x:c r="J283" s="53" t="str">
        <x:v>不得仅凭此词判模式；先全局急诊/复杂覆盖</x:v>
      </x:c>
    </x:row>
    <x:row r="284" ht="41" customHeight="1">
      <x:c r="A284" s="53" t="str">
        <x:v>K280</x:v>
      </x:c>
      <x:c r="B284" s="53" t="str">
        <x:v>R087</x:v>
      </x:c>
      <x:c r="C284" s="53" t="str">
        <x:v>7 AAA术后状态/并发症</x:v>
      </x:c>
      <x:c r="D284" s="53" t="str">
        <x:v>术后急性下肢缺血</x:v>
      </x:c>
      <x:c r="E284" s="53" t="str">
        <x:v>acute graft limb occlusion</x:v>
      </x:c>
      <x:c r="F284" s="53" t="str">
        <x:v>急诊模式</x:v>
      </x:c>
      <x:c r="G284" s="53" t="str">
        <x:v>病种候选词（需上下文判定）</x:v>
      </x:c>
      <x:c r="H284" s="53" t="str">
        <x:v>术后急性肢体缺血客观症状或临床高度怀疑</x:v>
      </x:c>
      <x:c r="I284" s="53" t="str">
        <x:v>仅慢性稳定跛行</x:v>
      </x:c>
      <x:c r="J284" s="53" t="str">
        <x:v>不得仅凭此词判模式；先全局急诊/复杂覆盖</x:v>
      </x:c>
    </x:row>
    <x:row r="285" ht="41" customHeight="1">
      <x:c r="A285" s="53" t="str">
        <x:v>K281</x:v>
      </x:c>
      <x:c r="B285" s="53" t="str">
        <x:v>R088</x:v>
      </x:c>
      <x:c r="C285" s="53" t="str">
        <x:v>7 AAA术后状态/并发症</x:v>
      </x:c>
      <x:c r="D285" s="53" t="str">
        <x:v>术后急性肾损伤</x:v>
      </x:c>
      <x:c r="E285" s="53" t="str">
        <x:v>术后急性肾损伤</x:v>
      </x:c>
      <x:c r="F285" s="53" t="str">
        <x:v>复杂模式</x:v>
      </x:c>
      <x:c r="G285" s="53" t="str">
        <x:v>病种候选词（需上下文判定）</x:v>
      </x:c>
      <x:c r="H285" s="53" t="str">
        <x:v>既往AAA修复 AND 目前急性肾功能恶化</x:v>
      </x:c>
      <x:c r="I285" s="53" t="str">
        <x:v>长期稳定CKD应为复杂风险因子而非AKI</x:v>
      </x:c>
      <x:c r="J285" s="53" t="str">
        <x:v>不得仅凭此词判模式；先全局急诊/复杂覆盖</x:v>
      </x:c>
    </x:row>
    <x:row r="286" ht="41" customHeight="1">
      <x:c r="A286" s="53" t="str">
        <x:v>K282</x:v>
      </x:c>
      <x:c r="B286" s="53" t="str">
        <x:v>R088</x:v>
      </x:c>
      <x:c r="C286" s="53" t="str">
        <x:v>7 AAA术后状态/并发症</x:v>
      </x:c>
      <x:c r="D286" s="53" t="str">
        <x:v>术后急性肾损伤</x:v>
      </x:c>
      <x:c r="E286" s="53" t="str">
        <x:v>AKI following AAA repair</x:v>
      </x:c>
      <x:c r="F286" s="53" t="str">
        <x:v>复杂模式</x:v>
      </x:c>
      <x:c r="G286" s="53" t="str">
        <x:v>病种候选词（需上下文判定）</x:v>
      </x:c>
      <x:c r="H286" s="53" t="str">
        <x:v>既往AAA修复 AND 目前急性肾功能恶化</x:v>
      </x:c>
      <x:c r="I286" s="53" t="str">
        <x:v>长期稳定CKD应为复杂风险因子而非AKI</x:v>
      </x:c>
      <x:c r="J286" s="53" t="str">
        <x:v>不得仅凭此词判模式；先全局急诊/复杂覆盖</x:v>
      </x:c>
    </x:row>
    <x:row r="287" ht="41" customHeight="1">
      <x:c r="A287" s="53" t="str">
        <x:v>K283</x:v>
      </x:c>
      <x:c r="B287" s="53" t="str">
        <x:v>R088</x:v>
      </x:c>
      <x:c r="C287" s="53" t="str">
        <x:v>7 AAA术后状态/并发症</x:v>
      </x:c>
      <x:c r="D287" s="53" t="str">
        <x:v>术后急性肾损伤</x:v>
      </x:c>
      <x:c r="E287" s="53" t="str">
        <x:v>acute kidney injury post EVAR</x:v>
      </x:c>
      <x:c r="F287" s="53" t="str">
        <x:v>复杂模式</x:v>
      </x:c>
      <x:c r="G287" s="53" t="str">
        <x:v>病种候选词（需上下文判定）</x:v>
      </x:c>
      <x:c r="H287" s="53" t="str">
        <x:v>既往AAA修复 AND 目前急性肾功能恶化</x:v>
      </x:c>
      <x:c r="I287" s="53" t="str">
        <x:v>长期稳定CKD应为复杂风险因子而非AKI</x:v>
      </x:c>
      <x:c r="J287" s="53" t="str">
        <x:v>不得仅凭此词判模式；先全局急诊/复杂覆盖</x:v>
      </x:c>
    </x:row>
    <x:row r="288" ht="41" customHeight="1">
      <x:c r="A288" s="53" t="str">
        <x:v>K284</x:v>
      </x:c>
      <x:c r="B288" s="53" t="str">
        <x:v>R089</x:v>
      </x:c>
      <x:c r="C288" s="53" t="str">
        <x:v>7 AAA术后状态/并发症</x:v>
      </x:c>
      <x:c r="D288" s="53" t="str">
        <x:v>术后脊髓缺血</x:v>
      </x:c>
      <x:c r="E288" s="53" t="str">
        <x:v>术后脊髓缺血</x:v>
      </x:c>
      <x:c r="F288" s="53" t="str">
        <x:v>急诊模式</x:v>
      </x:c>
      <x:c r="G288" s="53" t="str">
        <x:v>病种候选词（需上下文判定）</x:v>
      </x:c>
      <x:c r="H288" s="53" t="str">
        <x:v>主动脉重建后新发神经功能缺损疑似缺血</x:v>
      </x:c>
      <x:c r="I288" s="53" t="str">
        <x:v>非术后相关既往神经缺损</x:v>
      </x:c>
      <x:c r="J288" s="53" t="str">
        <x:v>不得仅凭此词判模式；先全局急诊/复杂覆盖</x:v>
      </x:c>
    </x:row>
    <x:row r="289" ht="41" customHeight="1">
      <x:c r="A289" s="53" t="str">
        <x:v>K285</x:v>
      </x:c>
      <x:c r="B289" s="53" t="str">
        <x:v>R089</x:v>
      </x:c>
      <x:c r="C289" s="53" t="str">
        <x:v>7 AAA术后状态/并发症</x:v>
      </x:c>
      <x:c r="D289" s="53" t="str">
        <x:v>术后脊髓缺血</x:v>
      </x:c>
      <x:c r="E289" s="53" t="str">
        <x:v>spinal cord ischemia after aortic repair</x:v>
      </x:c>
      <x:c r="F289" s="53" t="str">
        <x:v>急诊模式</x:v>
      </x:c>
      <x:c r="G289" s="53" t="str">
        <x:v>病种候选词（需上下文判定）</x:v>
      </x:c>
      <x:c r="H289" s="53" t="str">
        <x:v>主动脉重建后新发神经功能缺损疑似缺血</x:v>
      </x:c>
      <x:c r="I289" s="53" t="str">
        <x:v>非术后相关既往神经缺损</x:v>
      </x:c>
      <x:c r="J289" s="53" t="str">
        <x:v>不得仅凭此词判模式；先全局急诊/复杂覆盖</x:v>
      </x:c>
    </x:row>
    <x:row r="290" ht="41" customHeight="1">
      <x:c r="A290" s="53" t="str">
        <x:v>K286</x:v>
      </x:c>
      <x:c r="B290" s="53" t="str">
        <x:v>R089</x:v>
      </x:c>
      <x:c r="C290" s="53" t="str">
        <x:v>7 AAA术后状态/并发症</x:v>
      </x:c>
      <x:c r="D290" s="53" t="str">
        <x:v>术后脊髓缺血</x:v>
      </x:c>
      <x:c r="E290" s="53" t="str">
        <x:v>SCI post FEVAR</x:v>
      </x:c>
      <x:c r="F290" s="53" t="str">
        <x:v>急诊模式</x:v>
      </x:c>
      <x:c r="G290" s="53" t="str">
        <x:v>病种候选词（需上下文判定）</x:v>
      </x:c>
      <x:c r="H290" s="53" t="str">
        <x:v>主动脉重建后新发神经功能缺损疑似缺血</x:v>
      </x:c>
      <x:c r="I290" s="53" t="str">
        <x:v>非术后相关既往神经缺损</x:v>
      </x:c>
      <x:c r="J290" s="53" t="str">
        <x:v>不得仅凭此词判模式；先全局急诊/复杂覆盖</x:v>
      </x:c>
    </x:row>
    <x:row r="291" ht="41" customHeight="1">
      <x:c r="A291" s="53" t="str">
        <x:v>K287</x:v>
      </x:c>
      <x:c r="B291" s="53" t="str">
        <x:v>R090</x:v>
      </x:c>
      <x:c r="C291" s="53" t="str">
        <x:v>7 AAA术后状态/并发症</x:v>
      </x:c>
      <x:c r="D291" s="53" t="str">
        <x:v>入路并发症</x:v>
      </x:c>
      <x:c r="E291" s="53" t="str">
        <x:v>股动脉入路并发症</x:v>
      </x:c>
      <x:c r="F291" s="53" t="str">
        <x:v>复杂模式</x:v>
      </x:c>
      <x:c r="G291" s="53" t="str">
        <x:v>病种候选词（需上下文判定）</x:v>
      </x:c>
      <x:c r="H291" s="53" t="str">
        <x:v>主动脉EVAR/相关修复后入路有血肿/假性瘤/狭窄</x:v>
      </x:c>
      <x:c r="I291" s="53" t="str">
        <x:v>无病灶的穿刺痕迹</x:v>
      </x:c>
      <x:c r="J291" s="53" t="str">
        <x:v>不得仅凭此词判模式；先全局急诊/复杂覆盖</x:v>
      </x:c>
    </x:row>
    <x:row r="292" ht="41" customHeight="1">
      <x:c r="A292" s="53" t="str">
        <x:v>K288</x:v>
      </x:c>
      <x:c r="B292" s="53" t="str">
        <x:v>R090</x:v>
      </x:c>
      <x:c r="C292" s="53" t="str">
        <x:v>7 AAA术后状态/并发症</x:v>
      </x:c>
      <x:c r="D292" s="53" t="str">
        <x:v>入路并发症</x:v>
      </x:c>
      <x:c r="E292" s="53" t="str">
        <x:v>access site pseudoaneurysm</x:v>
      </x:c>
      <x:c r="F292" s="53" t="str">
        <x:v>复杂模式</x:v>
      </x:c>
      <x:c r="G292" s="53" t="str">
        <x:v>病种候选词（需上下文判定）</x:v>
      </x:c>
      <x:c r="H292" s="53" t="str">
        <x:v>主动脉EVAR/相关修复后入路有血肿/假性瘤/狭窄</x:v>
      </x:c>
      <x:c r="I292" s="53" t="str">
        <x:v>无病灶的穿刺痕迹</x:v>
      </x:c>
      <x:c r="J292" s="53" t="str">
        <x:v>不得仅凭此词判模式；先全局急诊/复杂覆盖</x:v>
      </x:c>
    </x:row>
    <x:row r="293" ht="41" customHeight="1">
      <x:c r="A293" s="53" t="str">
        <x:v>K289</x:v>
      </x:c>
      <x:c r="B293" s="53" t="str">
        <x:v>R090</x:v>
      </x:c>
      <x:c r="C293" s="53" t="str">
        <x:v>7 AAA术后状态/并发症</x:v>
      </x:c>
      <x:c r="D293" s="53" t="str">
        <x:v>入路并发症</x:v>
      </x:c>
      <x:c r="E293" s="53" t="str">
        <x:v>入路血肿</x:v>
      </x:c>
      <x:c r="F293" s="53" t="str">
        <x:v>复杂模式</x:v>
      </x:c>
      <x:c r="G293" s="53" t="str">
        <x:v>病种候选词（需上下文判定）</x:v>
      </x:c>
      <x:c r="H293" s="53" t="str">
        <x:v>主动脉EVAR/相关修复后入路有血肿/假性瘤/狭窄</x:v>
      </x:c>
      <x:c r="I293" s="53" t="str">
        <x:v>无病灶的穿刺痕迹</x:v>
      </x:c>
      <x:c r="J293" s="53" t="str">
        <x:v>不得仅凭此词判模式；先全局急诊/复杂覆盖</x:v>
      </x:c>
    </x:row>
    <x:row r="294" ht="41" customHeight="1">
      <x:c r="A294" s="53" t="str">
        <x:v>K290</x:v>
      </x:c>
      <x:c r="B294" s="53" t="str">
        <x:v>R091</x:v>
      </x:c>
      <x:c r="C294" s="53" t="str">
        <x:v>7 AAA术后状态/并发症</x:v>
      </x:c>
      <x:c r="D294" s="53" t="str">
        <x:v>开放手术切口疝</x:v>
      </x:c>
      <x:c r="E294" s="53" t="str">
        <x:v>术后切口疝</x:v>
      </x:c>
      <x:c r="F294" s="53" t="str">
        <x:v>指南模式</x:v>
      </x:c>
      <x:c r="G294" s="53" t="str">
        <x:v>病种候选词（需上下文判定）</x:v>
      </x:c>
      <x:c r="H294" s="53" t="str">
        <x:v>既往OSR且切口疝确诊</x:v>
      </x:c>
      <x:c r="I294" s="53" t="str">
        <x:v>其他无关腹壁疝</x:v>
      </x:c>
      <x:c r="J294" s="53" t="str">
        <x:v>不得仅凭此词判模式；先全局急诊/复杂覆盖</x:v>
      </x:c>
    </x:row>
    <x:row r="295" ht="41" customHeight="1">
      <x:c r="A295" s="53" t="str">
        <x:v>K291</x:v>
      </x:c>
      <x:c r="B295" s="53" t="str">
        <x:v>R091</x:v>
      </x:c>
      <x:c r="C295" s="53" t="str">
        <x:v>7 AAA术后状态/并发症</x:v>
      </x:c>
      <x:c r="D295" s="53" t="str">
        <x:v>开放手术切口疝</x:v>
      </x:c>
      <x:c r="E295" s="53" t="str">
        <x:v>incisional hernia after AAA</x:v>
      </x:c>
      <x:c r="F295" s="53" t="str">
        <x:v>指南模式</x:v>
      </x:c>
      <x:c r="G295" s="53" t="str">
        <x:v>病种候选词（需上下文判定）</x:v>
      </x:c>
      <x:c r="H295" s="53" t="str">
        <x:v>既往OSR且切口疝确诊</x:v>
      </x:c>
      <x:c r="I295" s="53" t="str">
        <x:v>其他无关腹壁疝</x:v>
      </x:c>
      <x:c r="J295" s="53" t="str">
        <x:v>不得仅凭此词判模式；先全局急诊/复杂覆盖</x:v>
      </x:c>
    </x:row>
    <x:row r="296" ht="41" customHeight="1">
      <x:c r="A296" s="53" t="str">
        <x:v>K292</x:v>
      </x:c>
      <x:c r="B296" s="53" t="str">
        <x:v>R091</x:v>
      </x:c>
      <x:c r="C296" s="53" t="str">
        <x:v>7 AAA术后状态/并发症</x:v>
      </x:c>
      <x:c r="D296" s="53" t="str">
        <x:v>开放手术切口疝</x:v>
      </x:c>
      <x:c r="E296" s="53" t="str">
        <x:v>腹壁切口疝</x:v>
      </x:c>
      <x:c r="F296" s="53" t="str">
        <x:v>指南模式</x:v>
      </x:c>
      <x:c r="G296" s="53" t="str">
        <x:v>病种候选词（需上下文判定）</x:v>
      </x:c>
      <x:c r="H296" s="53" t="str">
        <x:v>既往OSR且切口疝确诊</x:v>
      </x:c>
      <x:c r="I296" s="53" t="str">
        <x:v>其他无关腹壁疝</x:v>
      </x:c>
      <x:c r="J296" s="53" t="str">
        <x:v>不得仅凭此词判模式；先全局急诊/复杂覆盖</x:v>
      </x:c>
    </x:row>
    <x:row r="297" ht="41" customHeight="1">
      <x:c r="A297" s="53" t="str">
        <x:v>K293</x:v>
      </x:c>
      <x:c r="B297" s="53" t="str">
        <x:v>R092</x:v>
      </x:c>
      <x:c r="C297" s="53" t="str">
        <x:v>7 AAA术后状态/并发症</x:v>
      </x:c>
      <x:c r="D297" s="53" t="str">
        <x:v>AAA术后性功能障碍</x:v>
      </x:c>
      <x:c r="E297" s="53" t="str">
        <x:v>AAA术后性功能障碍</x:v>
      </x:c>
      <x:c r="F297" s="53" t="str">
        <x:v>指南模式</x:v>
      </x:c>
      <x:c r="G297" s="53" t="str">
        <x:v>病种候选词（需上下文判定）</x:v>
      </x:c>
      <x:c r="H297" s="53" t="str">
        <x:v>既往AAA修复 AND 新发功能障碍临床相关</x:v>
      </x:c>
      <x:c r="I297" s="53" t="str">
        <x:v>与术后无关联者</x:v>
      </x:c>
      <x:c r="J297" s="53" t="str">
        <x:v>不得仅凭此词判模式；先全局急诊/复杂覆盖</x:v>
      </x:c>
    </x:row>
    <x:row r="298" ht="41" customHeight="1">
      <x:c r="A298" s="53" t="str">
        <x:v>K294</x:v>
      </x:c>
      <x:c r="B298" s="53" t="str">
        <x:v>R092</x:v>
      </x:c>
      <x:c r="C298" s="53" t="str">
        <x:v>7 AAA术后状态/并发症</x:v>
      </x:c>
      <x:c r="D298" s="53" t="str">
        <x:v>AAA术后性功能障碍</x:v>
      </x:c>
      <x:c r="E298" s="53" t="str">
        <x:v>sexual dysfunction after AAA repair</x:v>
      </x:c>
      <x:c r="F298" s="53" t="str">
        <x:v>指南模式</x:v>
      </x:c>
      <x:c r="G298" s="53" t="str">
        <x:v>病种候选词（需上下文判定）</x:v>
      </x:c>
      <x:c r="H298" s="53" t="str">
        <x:v>既往AAA修复 AND 新发功能障碍临床相关</x:v>
      </x:c>
      <x:c r="I298" s="53" t="str">
        <x:v>与术后无关联者</x:v>
      </x:c>
      <x:c r="J298" s="53" t="str">
        <x:v>不得仅凭此词判模式；先全局急诊/复杂覆盖</x:v>
      </x:c>
    </x:row>
    <x:row r="299" ht="41" customHeight="1">
      <x:c r="A299" s="53" t="str">
        <x:v>K295</x:v>
      </x:c>
      <x:c r="B299" s="53" t="str">
        <x:v>R092</x:v>
      </x:c>
      <x:c r="C299" s="53" t="str">
        <x:v>7 AAA术后状态/并发症</x:v>
      </x:c>
      <x:c r="D299" s="53" t="str">
        <x:v>AAA术后性功能障碍</x:v>
      </x:c>
      <x:c r="E299" s="53" t="str">
        <x:v>射精功能障碍</x:v>
      </x:c>
      <x:c r="F299" s="53" t="str">
        <x:v>指南模式</x:v>
      </x:c>
      <x:c r="G299" s="53" t="str">
        <x:v>病种候选词（需上下文判定）</x:v>
      </x:c>
      <x:c r="H299" s="53" t="str">
        <x:v>既往AAA修复 AND 新发功能障碍临床相关</x:v>
      </x:c>
      <x:c r="I299" s="53" t="str">
        <x:v>与术后无关联者</x:v>
      </x:c>
      <x:c r="J299" s="53" t="str">
        <x:v>不得仅凭此词判模式；先全局急诊/复杂覆盖</x:v>
      </x:c>
    </x:row>
    <x:row r="300" ht="41" customHeight="1">
      <x:c r="A300" s="53" t="str">
        <x:v>K296</x:v>
      </x:c>
      <x:c r="B300" s="53" t="str">
        <x:v>R093</x:v>
      </x:c>
      <x:c r="C300" s="53" t="str">
        <x:v>7 AAA术后状态/并发症</x:v>
      </x:c>
      <x:c r="D300" s="53" t="str">
        <x:v>其他非特异术后异常待查</x:v>
      </x:c>
      <x:c r="E300" s="53" t="str">
        <x:v>术后异常待查</x:v>
      </x:c>
      <x:c r="F300" s="53" t="str">
        <x:v>复杂模式</x:v>
      </x:c>
      <x:c r="G300" s="53" t="str">
        <x:v>病种候选词（需上下文判定）</x:v>
      </x:c>
      <x:c r="H300" s="53" t="str">
        <x:v>AAA术后异常线索但资料不足以具体归类</x:v>
      </x:c>
      <x:c r="I300" s="53" t="str">
        <x:v>明确排除全部术后并发症</x:v>
      </x:c>
      <x:c r="J300" s="53" t="str">
        <x:v>不得仅凭此词判模式；先全局急诊/复杂覆盖</x:v>
      </x:c>
    </x:row>
    <x:row r="301" ht="41" customHeight="1">
      <x:c r="A301" s="53" t="str">
        <x:v>K297</x:v>
      </x:c>
      <x:c r="B301" s="53" t="str">
        <x:v>R093</x:v>
      </x:c>
      <x:c r="C301" s="53" t="str">
        <x:v>7 AAA术后状态/并发症</x:v>
      </x:c>
      <x:c r="D301" s="53" t="str">
        <x:v>其他非特异术后异常待查</x:v>
      </x:c>
      <x:c r="E301" s="53" t="str">
        <x:v>post EVAR complication unspecified</x:v>
      </x:c>
      <x:c r="F301" s="53" t="str">
        <x:v>复杂模式</x:v>
      </x:c>
      <x:c r="G301" s="53" t="str">
        <x:v>病种候选词（需上下文判定）</x:v>
      </x:c>
      <x:c r="H301" s="53" t="str">
        <x:v>AAA术后异常线索但资料不足以具体归类</x:v>
      </x:c>
      <x:c r="I301" s="53" t="str">
        <x:v>明确排除全部术后并发症</x:v>
      </x:c>
      <x:c r="J301" s="53" t="str">
        <x:v>不得仅凭此词判模式；先全局急诊/复杂覆盖</x:v>
      </x:c>
    </x:row>
    <x:row r="302" ht="41" customHeight="1">
      <x:c r="A302" s="53" t="str">
        <x:v>K298</x:v>
      </x:c>
      <x:c r="B302" s="53" t="str">
        <x:v>R093</x:v>
      </x:c>
      <x:c r="C302" s="53" t="str">
        <x:v>7 AAA术后状态/并发症</x:v>
      </x:c>
      <x:c r="D302" s="53" t="str">
        <x:v>其他非特异术后异常待查</x:v>
      </x:c>
      <x:c r="E302" s="53" t="str">
        <x:v>术后瘤囊变化不明</x:v>
      </x:c>
      <x:c r="F302" s="53" t="str">
        <x:v>复杂模式</x:v>
      </x:c>
      <x:c r="G302" s="53" t="str">
        <x:v>病种候选词（需上下文判定）</x:v>
      </x:c>
      <x:c r="H302" s="53" t="str">
        <x:v>AAA术后异常线索但资料不足以具体归类</x:v>
      </x:c>
      <x:c r="I302" s="53" t="str">
        <x:v>明确排除全部术后并发症</x:v>
      </x:c>
      <x:c r="J302" s="53" t="str">
        <x:v>不得仅凭此词判模式；先全局急诊/复杂覆盖</x:v>
      </x:c>
    </x:row>
    <x:row r="303" ht="41" customHeight="1">
      <x:c r="A303" s="53" t="str">
        <x:v>K299</x:v>
      </x:c>
      <x:c r="B303" s="53" t="str">
        <x:v>O01</x:v>
      </x:c>
      <x:c r="C303" s="53" t="str">
        <x:v>跨病种覆盖</x:v>
      </x:c>
      <x:c r="D303" s="53" t="str">
        <x:v>urgency_flag主动标志</x:v>
      </x:c>
      <x:c r="E303" s="53" t="str">
        <x:v>urgency_flag=True</x:v>
      </x:c>
      <x:c r="F303" s="53" t="str">
        <x:v>急诊模式</x:v>
      </x:c>
      <x:c r="G303" s="53" t="str">
        <x:v>覆盖候选词（需上下文判定）</x:v>
      </x:c>
      <x:c r="H303" s="53" t="str">
        <x:v>临床授权字段=真</x:v>
      </x:c>
      <x:c r="I303" s="53" t="str">
        <x:v>若字段为未知不得当真</x:v>
      </x:c>
      <x:c r="J303" s="53" t="str">
        <x:v>模式优先级须遵守O表</x:v>
      </x:c>
    </x:row>
    <x:row r="304" ht="41" customHeight="1">
      <x:c r="A304" s="53" t="str">
        <x:v>K300</x:v>
      </x:c>
      <x:c r="B304" s="53" t="str">
        <x:v>O01</x:v>
      </x:c>
      <x:c r="C304" s="53" t="str">
        <x:v>跨病种覆盖</x:v>
      </x:c>
      <x:c r="D304" s="53" t="str">
        <x:v>urgency_flag主动标志</x:v>
      </x:c>
      <x:c r="E304" s="53" t="str">
        <x:v>明确急诊标志</x:v>
      </x:c>
      <x:c r="F304" s="53" t="str">
        <x:v>急诊模式</x:v>
      </x:c>
      <x:c r="G304" s="53" t="str">
        <x:v>覆盖候选词（需上下文判定）</x:v>
      </x:c>
      <x:c r="H304" s="53" t="str">
        <x:v>临床授权字段=真</x:v>
      </x:c>
      <x:c r="I304" s="53" t="str">
        <x:v>若字段为未知不得当真</x:v>
      </x:c>
      <x:c r="J304" s="53" t="str">
        <x:v>模式优先级须遵守O表</x:v>
      </x:c>
    </x:row>
    <x:row r="305" ht="41" customHeight="1">
      <x:c r="A305" s="53" t="str">
        <x:v>K301</x:v>
      </x:c>
      <x:c r="B305" s="53" t="str">
        <x:v>O01</x:v>
      </x:c>
      <x:c r="C305" s="53" t="str">
        <x:v>跨病种覆盖</x:v>
      </x:c>
      <x:c r="D305" s="53" t="str">
        <x:v>urgency_flag主动标志</x:v>
      </x:c>
      <x:c r="E305" s="53" t="str">
        <x:v>临床指定急症</x:v>
      </x:c>
      <x:c r="F305" s="53" t="str">
        <x:v>急诊模式</x:v>
      </x:c>
      <x:c r="G305" s="53" t="str">
        <x:v>覆盖候选词（需上下文判定）</x:v>
      </x:c>
      <x:c r="H305" s="53" t="str">
        <x:v>临床授权字段=真</x:v>
      </x:c>
      <x:c r="I305" s="53" t="str">
        <x:v>若字段为未知不得当真</x:v>
      </x:c>
      <x:c r="J305" s="53" t="str">
        <x:v>模式优先级须遵守O表</x:v>
      </x:c>
    </x:row>
    <x:row r="306" ht="41" customHeight="1">
      <x:c r="A306" s="53" t="str">
        <x:v>K302</x:v>
      </x:c>
      <x:c r="B306" s="53" t="str">
        <x:v>O02</x:v>
      </x:c>
      <x:c r="C306" s="53" t="str">
        <x:v>跨病种覆盖</x:v>
      </x:c>
      <x:c r="D306" s="53" t="str">
        <x:v>已确认/疑似AAA破裂</x:v>
      </x:c>
      <x:c r="E306" s="53" t="str">
        <x:v>破裂</x:v>
      </x:c>
      <x:c r="F306" s="53" t="str">
        <x:v>急诊模式</x:v>
      </x:c>
      <x:c r="G306" s="53" t="str">
        <x:v>覆盖候选词（需上下文判定）</x:v>
      </x:c>
      <x:c r="H306" s="53" t="str">
        <x:v>在主动脉/髂瘤相关当前诊断中为肯定或高度疑似</x:v>
      </x:c>
      <x:c r="I306" s="53" t="str">
        <x:v>‘未破裂/排除破裂/既往破裂’</x:v>
      </x:c>
      <x:c r="J306" s="53" t="str">
        <x:v>模式优先级须遵守O表</x:v>
      </x:c>
    </x:row>
    <x:row r="307" ht="41" customHeight="1">
      <x:c r="A307" s="53" t="str">
        <x:v>K303</x:v>
      </x:c>
      <x:c r="B307" s="53" t="str">
        <x:v>O02</x:v>
      </x:c>
      <x:c r="C307" s="53" t="str">
        <x:v>跨病种覆盖</x:v>
      </x:c>
      <x:c r="D307" s="53" t="str">
        <x:v>已确认/疑似AAA破裂</x:v>
      </x:c>
      <x:c r="E307" s="53" t="str">
        <x:v>疑似破裂</x:v>
      </x:c>
      <x:c r="F307" s="53" t="str">
        <x:v>急诊模式</x:v>
      </x:c>
      <x:c r="G307" s="53" t="str">
        <x:v>覆盖候选词（需上下文判定）</x:v>
      </x:c>
      <x:c r="H307" s="53" t="str">
        <x:v>在主动脉/髂瘤相关当前诊断中为肯定或高度疑似</x:v>
      </x:c>
      <x:c r="I307" s="53" t="str">
        <x:v>‘未破裂/排除破裂/既往破裂’</x:v>
      </x:c>
      <x:c r="J307" s="53" t="str">
        <x:v>模式优先级须遵守O表</x:v>
      </x:c>
    </x:row>
    <x:row r="308" ht="41" customHeight="1">
      <x:c r="A308" s="53" t="str">
        <x:v>K304</x:v>
      </x:c>
      <x:c r="B308" s="53" t="str">
        <x:v>O02</x:v>
      </x:c>
      <x:c r="C308" s="53" t="str">
        <x:v>跨病种覆盖</x:v>
      </x:c>
      <x:c r="D308" s="53" t="str">
        <x:v>已确认/疑似AAA破裂</x:v>
      </x:c>
      <x:c r="E308" s="53" t="str">
        <x:v>rupture</x:v>
      </x:c>
      <x:c r="F308" s="53" t="str">
        <x:v>急诊模式</x:v>
      </x:c>
      <x:c r="G308" s="53" t="str">
        <x:v>覆盖候选词（需上下文判定）</x:v>
      </x:c>
      <x:c r="H308" s="53" t="str">
        <x:v>在主动脉/髂瘤相关当前诊断中为肯定或高度疑似</x:v>
      </x:c>
      <x:c r="I308" s="53" t="str">
        <x:v>‘未破裂/排除破裂/既往破裂’</x:v>
      </x:c>
      <x:c r="J308" s="53" t="str">
        <x:v>模式优先级须遵守O表</x:v>
      </x:c>
    </x:row>
    <x:row r="309" ht="41" customHeight="1">
      <x:c r="A309" s="53" t="str">
        <x:v>K305</x:v>
      </x:c>
      <x:c r="B309" s="53" t="str">
        <x:v>O02</x:v>
      </x:c>
      <x:c r="C309" s="53" t="str">
        <x:v>跨病种覆盖</x:v>
      </x:c>
      <x:c r="D309" s="53" t="str">
        <x:v>已确认/疑似AAA破裂</x:v>
      </x:c>
      <x:c r="E309" s="53" t="str">
        <x:v>rAAA</x:v>
      </x:c>
      <x:c r="F309" s="53" t="str">
        <x:v>急诊模式</x:v>
      </x:c>
      <x:c r="G309" s="53" t="str">
        <x:v>覆盖候选词（需上下文判定）</x:v>
      </x:c>
      <x:c r="H309" s="53" t="str">
        <x:v>在主动脉/髂瘤相关当前诊断中为肯定或高度疑似</x:v>
      </x:c>
      <x:c r="I309" s="53" t="str">
        <x:v>‘未破裂/排除破裂/既往破裂’</x:v>
      </x:c>
      <x:c r="J309" s="53" t="str">
        <x:v>模式优先级须遵守O表</x:v>
      </x:c>
    </x:row>
    <x:row r="310" ht="41" customHeight="1">
      <x:c r="A310" s="53" t="str">
        <x:v>K306</x:v>
      </x:c>
      <x:c r="B310" s="53" t="str">
        <x:v>O03</x:v>
      </x:c>
      <x:c r="C310" s="53" t="str">
        <x:v>跨病种覆盖</x:v>
      </x:c>
      <x:c r="D310" s="53" t="str">
        <x:v>症状性AAA或髂动脉瘤</x:v>
      </x:c>
      <x:c r="E310" s="53" t="str">
        <x:v>symptomatic AAA</x:v>
      </x:c>
      <x:c r="F310" s="53" t="str">
        <x:v>急诊模式</x:v>
      </x:c>
      <x:c r="G310" s="53" t="str">
        <x:v>覆盖候选词（需上下文判定）</x:v>
      </x:c>
      <x:c r="H310" s="53" t="str">
        <x:v>医生判断当前症状可能由主动脉瘤相关</x:v>
      </x:c>
      <x:c r="I310" s="53" t="str">
        <x:v>仅病史或否定式；明确其他病因</x:v>
      </x:c>
      <x:c r="J310" s="53" t="str">
        <x:v>模式优先级须遵守O表</x:v>
      </x:c>
    </x:row>
    <x:row r="311" ht="41" customHeight="1">
      <x:c r="A311" s="53" t="str">
        <x:v>K307</x:v>
      </x:c>
      <x:c r="B311" s="53" t="str">
        <x:v>O03</x:v>
      </x:c>
      <x:c r="C311" s="53" t="str">
        <x:v>跨病种覆盖</x:v>
      </x:c>
      <x:c r="D311" s="53" t="str">
        <x:v>症状性AAA或髂动脉瘤</x:v>
      </x:c>
      <x:c r="E311" s="53" t="str">
        <x:v>动脉瘤相关急性疼痛</x:v>
      </x:c>
      <x:c r="F311" s="53" t="str">
        <x:v>急诊模式</x:v>
      </x:c>
      <x:c r="G311" s="53" t="str">
        <x:v>覆盖候选词（需上下文判定）</x:v>
      </x:c>
      <x:c r="H311" s="53" t="str">
        <x:v>医生判断当前症状可能由主动脉瘤相关</x:v>
      </x:c>
      <x:c r="I311" s="53" t="str">
        <x:v>仅病史或否定式；明确其他病因</x:v>
      </x:c>
      <x:c r="J311" s="53" t="str">
        <x:v>模式优先级须遵守O表</x:v>
      </x:c>
    </x:row>
    <x:row r="312" ht="41" customHeight="1">
      <x:c r="A312" s="53" t="str">
        <x:v>K308</x:v>
      </x:c>
      <x:c r="B312" s="53" t="str">
        <x:v>O03</x:v>
      </x:c>
      <x:c r="C312" s="53" t="str">
        <x:v>跨病种覆盖</x:v>
      </x:c>
      <x:c r="D312" s="53" t="str">
        <x:v>症状性AAA或髂动脉瘤</x:v>
      </x:c>
      <x:c r="E312" s="53" t="str">
        <x:v>症状性动脉瘤</x:v>
      </x:c>
      <x:c r="F312" s="53" t="str">
        <x:v>急诊模式</x:v>
      </x:c>
      <x:c r="G312" s="53" t="str">
        <x:v>覆盖候选词（需上下文判定）</x:v>
      </x:c>
      <x:c r="H312" s="53" t="str">
        <x:v>医生判断当前症状可能由主动脉瘤相关</x:v>
      </x:c>
      <x:c r="I312" s="53" t="str">
        <x:v>仅病史或否定式；明确其他病因</x:v>
      </x:c>
      <x:c r="J312" s="53" t="str">
        <x:v>模式优先级须遵守O表</x:v>
      </x:c>
    </x:row>
    <x:row r="313" ht="41" customHeight="1">
      <x:c r="A313" s="53" t="str">
        <x:v>K309</x:v>
      </x:c>
      <x:c r="B313" s="53" t="str">
        <x:v>O04</x:v>
      </x:c>
      <x:c r="C313" s="53" t="str">
        <x:v>跨病种覆盖</x:v>
      </x:c>
      <x:c r="D313" s="53" t="str">
        <x:v>AAA相关循环不稳</x:v>
      </x:c>
      <x:c r="E313" s="53" t="str">
        <x:v>低血压</x:v>
      </x:c>
      <x:c r="F313" s="53" t="str">
        <x:v>急诊模式</x:v>
      </x:c>
      <x:c r="G313" s="53" t="str">
        <x:v>覆盖候选词（需上下文判定）</x:v>
      </x:c>
      <x:c r="H313" s="53" t="str">
        <x:v>AAA/主动脉病变当前存在＋怀疑急性主动脉并发症</x:v>
      </x:c>
      <x:c r="I313" s="53" t="str">
        <x:v>已有更确切的非主动脉原因且排除主动脉急症</x:v>
      </x:c>
      <x:c r="J313" s="53" t="str">
        <x:v>模式优先级须遵守O表</x:v>
      </x:c>
    </x:row>
    <x:row r="314" ht="41" customHeight="1">
      <x:c r="A314" s="53" t="str">
        <x:v>K310</x:v>
      </x:c>
      <x:c r="B314" s="53" t="str">
        <x:v>O04</x:v>
      </x:c>
      <x:c r="C314" s="53" t="str">
        <x:v>跨病种覆盖</x:v>
      </x:c>
      <x:c r="D314" s="53" t="str">
        <x:v>AAA相关循环不稳</x:v>
      </x:c>
      <x:c r="E314" s="53" t="str">
        <x:v>休克</x:v>
      </x:c>
      <x:c r="F314" s="53" t="str">
        <x:v>急诊模式</x:v>
      </x:c>
      <x:c r="G314" s="53" t="str">
        <x:v>覆盖候选词（需上下文判定）</x:v>
      </x:c>
      <x:c r="H314" s="53" t="str">
        <x:v>AAA/主动脉病变当前存在＋怀疑急性主动脉并发症</x:v>
      </x:c>
      <x:c r="I314" s="53" t="str">
        <x:v>已有更确切的非主动脉原因且排除主动脉急症</x:v>
      </x:c>
      <x:c r="J314" s="53" t="str">
        <x:v>模式优先级须遵守O表</x:v>
      </x:c>
    </x:row>
    <x:row r="315" ht="41" customHeight="1">
      <x:c r="A315" s="53" t="str">
        <x:v>K311</x:v>
      </x:c>
      <x:c r="B315" s="53" t="str">
        <x:v>O04</x:v>
      </x:c>
      <x:c r="C315" s="53" t="str">
        <x:v>跨病种覆盖</x:v>
      </x:c>
      <x:c r="D315" s="53" t="str">
        <x:v>AAA相关循环不稳</x:v>
      </x:c>
      <x:c r="E315" s="53" t="str">
        <x:v>血流动力学不稳</x:v>
      </x:c>
      <x:c r="F315" s="53" t="str">
        <x:v>急诊模式</x:v>
      </x:c>
      <x:c r="G315" s="53" t="str">
        <x:v>覆盖候选词（需上下文判定）</x:v>
      </x:c>
      <x:c r="H315" s="53" t="str">
        <x:v>AAA/主动脉病变当前存在＋怀疑急性主动脉并发症</x:v>
      </x:c>
      <x:c r="I315" s="53" t="str">
        <x:v>已有更确切的非主动脉原因且排除主动脉急症</x:v>
      </x:c>
      <x:c r="J315" s="53" t="str">
        <x:v>模式优先级须遵守O表</x:v>
      </x:c>
    </x:row>
    <x:row r="316" ht="41" customHeight="1">
      <x:c r="A316" s="53" t="str">
        <x:v>K312</x:v>
      </x:c>
      <x:c r="B316" s="53" t="str">
        <x:v>O04</x:v>
      </x:c>
      <x:c r="C316" s="53" t="str">
        <x:v>跨病种覆盖</x:v>
      </x:c>
      <x:c r="D316" s="53" t="str">
        <x:v>AAA相关循环不稳</x:v>
      </x:c>
      <x:c r="E316" s="53" t="str">
        <x:v>晕厥</x:v>
      </x:c>
      <x:c r="F316" s="53" t="str">
        <x:v>急诊模式</x:v>
      </x:c>
      <x:c r="G316" s="53" t="str">
        <x:v>覆盖候选词（需上下文判定）</x:v>
      </x:c>
      <x:c r="H316" s="53" t="str">
        <x:v>AAA/主动脉病变当前存在＋怀疑急性主动脉并发症</x:v>
      </x:c>
      <x:c r="I316" s="53" t="str">
        <x:v>已有更确切的非主动脉原因且排除主动脉急症</x:v>
      </x:c>
      <x:c r="J316" s="53" t="str">
        <x:v>模式优先级须遵守O表</x:v>
      </x:c>
    </x:row>
    <x:row r="317" ht="41" customHeight="1">
      <x:c r="A317" s="53" t="str">
        <x:v>K313</x:v>
      </x:c>
      <x:c r="B317" s="53" t="str">
        <x:v>O05</x:v>
      </x:c>
      <x:c r="C317" s="53" t="str">
        <x:v>跨病种覆盖</x:v>
      </x:c>
      <x:c r="D317" s="53" t="str">
        <x:v>主动脉活动性出血</x:v>
      </x:c>
      <x:c r="E317" s="53" t="str">
        <x:v>活动性外渗</x:v>
      </x:c>
      <x:c r="F317" s="53" t="str">
        <x:v>急诊模式</x:v>
      </x:c>
      <x:c r="G317" s="53" t="str">
        <x:v>覆盖候选词（需上下文判定）</x:v>
      </x:c>
      <x:c r="H317" s="53" t="str">
        <x:v>报告/临床确认来自主动脉或修复移植物</x:v>
      </x:c>
      <x:c r="I317" s="53" t="str">
        <x:v>非主动脉来源或历史记录</x:v>
      </x:c>
      <x:c r="J317" s="53" t="str">
        <x:v>模式优先级须遵守O表</x:v>
      </x:c>
    </x:row>
    <x:row r="318" ht="41" customHeight="1">
      <x:c r="A318" s="53" t="str">
        <x:v>K314</x:v>
      </x:c>
      <x:c r="B318" s="53" t="str">
        <x:v>O05</x:v>
      </x:c>
      <x:c r="C318" s="53" t="str">
        <x:v>跨病种覆盖</x:v>
      </x:c>
      <x:c r="D318" s="53" t="str">
        <x:v>主动脉活动性出血</x:v>
      </x:c>
      <x:c r="E318" s="53" t="str">
        <x:v>造影剂外渗</x:v>
      </x:c>
      <x:c r="F318" s="53" t="str">
        <x:v>急诊模式</x:v>
      </x:c>
      <x:c r="G318" s="53" t="str">
        <x:v>覆盖候选词（需上下文判定）</x:v>
      </x:c>
      <x:c r="H318" s="53" t="str">
        <x:v>报告/临床确认来自主动脉或修复移植物</x:v>
      </x:c>
      <x:c r="I318" s="53" t="str">
        <x:v>非主动脉来源或历史记录</x:v>
      </x:c>
      <x:c r="J318" s="53" t="str">
        <x:v>模式优先级须遵守O表</x:v>
      </x:c>
    </x:row>
    <x:row r="319" ht="41" customHeight="1">
      <x:c r="A319" s="53" t="str">
        <x:v>K315</x:v>
      </x:c>
      <x:c r="B319" s="53" t="str">
        <x:v>O05</x:v>
      </x:c>
      <x:c r="C319" s="53" t="str">
        <x:v>跨病种覆盖</x:v>
      </x:c>
      <x:c r="D319" s="53" t="str">
        <x:v>主动脉活动性出血</x:v>
      </x:c>
      <x:c r="E319" s="53" t="str">
        <x:v>大出血</x:v>
      </x:c>
      <x:c r="F319" s="53" t="str">
        <x:v>急诊模式</x:v>
      </x:c>
      <x:c r="G319" s="53" t="str">
        <x:v>覆盖候选词（需上下文判定）</x:v>
      </x:c>
      <x:c r="H319" s="53" t="str">
        <x:v>报告/临床确认来自主动脉或修复移植物</x:v>
      </x:c>
      <x:c r="I319" s="53" t="str">
        <x:v>非主动脉来源或历史记录</x:v>
      </x:c>
      <x:c r="J319" s="53" t="str">
        <x:v>模式优先级须遵守O表</x:v>
      </x:c>
    </x:row>
    <x:row r="320" ht="41" customHeight="1">
      <x:c r="A320" s="53" t="str">
        <x:v>K316</x:v>
      </x:c>
      <x:c r="B320" s="53" t="str">
        <x:v>O05</x:v>
      </x:c>
      <x:c r="C320" s="53" t="str">
        <x:v>跨病种覆盖</x:v>
      </x:c>
      <x:c r="D320" s="53" t="str">
        <x:v>主动脉活动性出血</x:v>
      </x:c>
      <x:c r="E320" s="53" t="str">
        <x:v>retroperitoneal hemorrhage</x:v>
      </x:c>
      <x:c r="F320" s="53" t="str">
        <x:v>急诊模式</x:v>
      </x:c>
      <x:c r="G320" s="53" t="str">
        <x:v>覆盖候选词（需上下文判定）</x:v>
      </x:c>
      <x:c r="H320" s="53" t="str">
        <x:v>报告/临床确认来自主动脉或修复移植物</x:v>
      </x:c>
      <x:c r="I320" s="53" t="str">
        <x:v>非主动脉来源或历史记录</x:v>
      </x:c>
      <x:c r="J320" s="53" t="str">
        <x:v>模式优先级须遵守O表</x:v>
      </x:c>
    </x:row>
    <x:row r="321" ht="41" customHeight="1">
      <x:c r="A321" s="53" t="str">
        <x:v>K317</x:v>
      </x:c>
      <x:c r="B321" s="53" t="str">
        <x:v>O06</x:v>
      </x:c>
      <x:c r="C321" s="53" t="str">
        <x:v>跨病种覆盖</x:v>
      </x:c>
      <x:c r="D321" s="53" t="str">
        <x:v>主动脉肠瘘疑似活动性出血</x:v>
      </x:c>
      <x:c r="E321" s="53" t="str">
        <x:v>移植物肠瘘</x:v>
      </x:c>
      <x:c r="F321" s="53" t="str">
        <x:v>急诊模式</x:v>
      </x:c>
      <x:c r="G321" s="53" t="str">
        <x:v>覆盖候选词（需上下文判定）</x:v>
      </x:c>
      <x:c r="H321" s="53" t="str">
        <x:v>有疑似瘘证据；尤其出血/休克/不稳定</x:v>
      </x:c>
      <x:c r="I321" s="53" t="str">
        <x:v>单纯消化道出血未有主动脉关联证据</x:v>
      </x:c>
      <x:c r="J321" s="53" t="str">
        <x:v>模式优先级须遵守O表</x:v>
      </x:c>
    </x:row>
    <x:row r="322" ht="41" customHeight="1">
      <x:c r="A322" s="53" t="str">
        <x:v>K318</x:v>
      </x:c>
      <x:c r="B322" s="53" t="str">
        <x:v>O06</x:v>
      </x:c>
      <x:c r="C322" s="53" t="str">
        <x:v>跨病种覆盖</x:v>
      </x:c>
      <x:c r="D322" s="53" t="str">
        <x:v>主动脉肠瘘疑似活动性出血</x:v>
      </x:c>
      <x:c r="E322" s="53" t="str">
        <x:v>主动脉肠瘘</x:v>
      </x:c>
      <x:c r="F322" s="53" t="str">
        <x:v>急诊模式</x:v>
      </x:c>
      <x:c r="G322" s="53" t="str">
        <x:v>覆盖候选词（需上下文判定）</x:v>
      </x:c>
      <x:c r="H322" s="53" t="str">
        <x:v>有疑似瘘证据；尤其出血/休克/不稳定</x:v>
      </x:c>
      <x:c r="I322" s="53" t="str">
        <x:v>单纯消化道出血未有主动脉关联证据</x:v>
      </x:c>
      <x:c r="J322" s="53" t="str">
        <x:v>模式优先级须遵守O表</x:v>
      </x:c>
    </x:row>
    <x:row r="323" ht="41" customHeight="1">
      <x:c r="A323" s="53" t="str">
        <x:v>K319</x:v>
      </x:c>
      <x:c r="B323" s="53" t="str">
        <x:v>O06</x:v>
      </x:c>
      <x:c r="C323" s="53" t="str">
        <x:v>跨病种覆盖</x:v>
      </x:c>
      <x:c r="D323" s="53" t="str">
        <x:v>主动脉肠瘘疑似活动性出血</x:v>
      </x:c>
      <x:c r="E323" s="53" t="str">
        <x:v>aortoenteric fistula</x:v>
      </x:c>
      <x:c r="F323" s="53" t="str">
        <x:v>急诊模式</x:v>
      </x:c>
      <x:c r="G323" s="53" t="str">
        <x:v>覆盖候选词（需上下文判定）</x:v>
      </x:c>
      <x:c r="H323" s="53" t="str">
        <x:v>有疑似瘘证据；尤其出血/休克/不稳定</x:v>
      </x:c>
      <x:c r="I323" s="53" t="str">
        <x:v>单纯消化道出血未有主动脉关联证据</x:v>
      </x:c>
      <x:c r="J323" s="53" t="str">
        <x:v>模式优先级须遵守O表</x:v>
      </x:c>
    </x:row>
    <x:row r="324" ht="41" customHeight="1">
      <x:c r="A324" s="53" t="str">
        <x:v>K320</x:v>
      </x:c>
      <x:c r="B324" s="53" t="str">
        <x:v>O06</x:v>
      </x:c>
      <x:c r="C324" s="53" t="str">
        <x:v>跨病种覆盖</x:v>
      </x:c>
      <x:c r="D324" s="53" t="str">
        <x:v>主动脉肠瘘疑似活动性出血</x:v>
      </x:c>
      <x:c r="E324" s="53" t="str">
        <x:v>GEF</x:v>
      </x:c>
      <x:c r="F324" s="53" t="str">
        <x:v>急诊模式</x:v>
      </x:c>
      <x:c r="G324" s="53" t="str">
        <x:v>覆盖候选词（需上下文判定）</x:v>
      </x:c>
      <x:c r="H324" s="53" t="str">
        <x:v>有疑似瘘证据；尤其出血/休克/不稳定</x:v>
      </x:c>
      <x:c r="I324" s="53" t="str">
        <x:v>单纯消化道出血未有主动脉关联证据</x:v>
      </x:c>
      <x:c r="J324" s="53" t="str">
        <x:v>模式优先级须遵守O表</x:v>
      </x:c>
    </x:row>
    <x:row r="325" ht="41" customHeight="1">
      <x:c r="A325" s="53" t="str">
        <x:v>K321</x:v>
      </x:c>
      <x:c r="B325" s="53" t="str">
        <x:v>O07</x:v>
      </x:c>
      <x:c r="C325" s="53" t="str">
        <x:v>跨病种覆盖</x:v>
      </x:c>
      <x:c r="D325" s="53" t="str">
        <x:v>动脉瘤相关急性肢体缺血</x:v>
      </x:c>
      <x:c r="E325" s="53" t="str">
        <x:v>急性下肢缺血</x:v>
      </x:c>
      <x:c r="F325" s="53" t="str">
        <x:v>急诊模式</x:v>
      </x:c>
      <x:c r="G325" s="53" t="str">
        <x:v>覆盖候选词（需上下文判定）</x:v>
      </x:c>
      <x:c r="H325" s="53" t="str">
        <x:v>当前症状/检查支持急性缺血及AAA/髂动脉病相关</x:v>
      </x:c>
      <x:c r="I325" s="53" t="str">
        <x:v>仅慢性跛行、既往已解决</x:v>
      </x:c>
      <x:c r="J325" s="53" t="str">
        <x:v>模式优先级须遵守O表</x:v>
      </x:c>
    </x:row>
    <x:row r="326" ht="41" customHeight="1">
      <x:c r="A326" s="53" t="str">
        <x:v>K322</x:v>
      </x:c>
      <x:c r="B326" s="53" t="str">
        <x:v>O07</x:v>
      </x:c>
      <x:c r="C326" s="53" t="str">
        <x:v>跨病种覆盖</x:v>
      </x:c>
      <x:c r="D326" s="53" t="str">
        <x:v>动脉瘤相关急性肢体缺血</x:v>
      </x:c>
      <x:c r="E326" s="53" t="str">
        <x:v>acute limb ischemia</x:v>
      </x:c>
      <x:c r="F326" s="53" t="str">
        <x:v>急诊模式</x:v>
      </x:c>
      <x:c r="G326" s="53" t="str">
        <x:v>覆盖候选词（需上下文判定）</x:v>
      </x:c>
      <x:c r="H326" s="53" t="str">
        <x:v>当前症状/检查支持急性缺血及AAA/髂动脉病相关</x:v>
      </x:c>
      <x:c r="I326" s="53" t="str">
        <x:v>仅慢性跛行、既往已解决</x:v>
      </x:c>
      <x:c r="J326" s="53" t="str">
        <x:v>模式优先级须遵守O表</x:v>
      </x:c>
    </x:row>
    <x:row r="327" ht="41" customHeight="1">
      <x:c r="A327" s="53" t="str">
        <x:v>K323</x:v>
      </x:c>
      <x:c r="B327" s="53" t="str">
        <x:v>O07</x:v>
      </x:c>
      <x:c r="C327" s="53" t="str">
        <x:v>跨病种覆盖</x:v>
      </x:c>
      <x:c r="D327" s="53" t="str">
        <x:v>动脉瘤相关急性肢体缺血</x:v>
      </x:c>
      <x:c r="E327" s="53" t="str">
        <x:v>肢体突然苍白无脉</x:v>
      </x:c>
      <x:c r="F327" s="53" t="str">
        <x:v>急诊模式</x:v>
      </x:c>
      <x:c r="G327" s="53" t="str">
        <x:v>覆盖候选词（需上下文判定）</x:v>
      </x:c>
      <x:c r="H327" s="53" t="str">
        <x:v>当前症状/检查支持急性缺血及AAA/髂动脉病相关</x:v>
      </x:c>
      <x:c r="I327" s="53" t="str">
        <x:v>仅慢性跛行、既往已解决</x:v>
      </x:c>
      <x:c r="J327" s="53" t="str">
        <x:v>模式优先级须遵守O表</x:v>
      </x:c>
    </x:row>
    <x:row r="328" ht="41" customHeight="1">
      <x:c r="A328" s="53" t="str">
        <x:v>K324</x:v>
      </x:c>
      <x:c r="B328" s="53" t="str">
        <x:v>O08</x:v>
      </x:c>
      <x:c r="C328" s="53" t="str">
        <x:v>跨病种覆盖</x:v>
      </x:c>
      <x:c r="D328" s="53" t="str">
        <x:v>急性重要器官灌注障碍</x:v>
      </x:c>
      <x:c r="E328" s="53" t="str">
        <x:v>肠系膜缺血</x:v>
      </x:c>
      <x:c r="F328" s="53" t="str">
        <x:v>急诊模式</x:v>
      </x:c>
      <x:c r="G328" s="53" t="str">
        <x:v>覆盖候选词（需上下文判定）</x:v>
      </x:c>
      <x:c r="H328" s="53" t="str">
        <x:v>主动脉病变/修复后 AND 新发器官缺血</x:v>
      </x:c>
      <x:c r="I328" s="53" t="str">
        <x:v>仅慢性无症状狭窄</x:v>
      </x:c>
      <x:c r="J328" s="53" t="str">
        <x:v>模式优先级须遵守O表</x:v>
      </x:c>
    </x:row>
    <x:row r="329" ht="41" customHeight="1">
      <x:c r="A329" s="53" t="str">
        <x:v>K325</x:v>
      </x:c>
      <x:c r="B329" s="53" t="str">
        <x:v>O08</x:v>
      </x:c>
      <x:c r="C329" s="53" t="str">
        <x:v>跨病种覆盖</x:v>
      </x:c>
      <x:c r="D329" s="53" t="str">
        <x:v>急性重要器官灌注障碍</x:v>
      </x:c>
      <x:c r="E329" s="53" t="str">
        <x:v>肾动脉急性闭塞</x:v>
      </x:c>
      <x:c r="F329" s="53" t="str">
        <x:v>急诊模式</x:v>
      </x:c>
      <x:c r="G329" s="53" t="str">
        <x:v>覆盖候选词（需上下文判定）</x:v>
      </x:c>
      <x:c r="H329" s="53" t="str">
        <x:v>主动脉病变/修复后 AND 新发器官缺血</x:v>
      </x:c>
      <x:c r="I329" s="53" t="str">
        <x:v>仅慢性无症状狭窄</x:v>
      </x:c>
      <x:c r="J329" s="53" t="str">
        <x:v>模式优先级须遵守O表</x:v>
      </x:c>
    </x:row>
    <x:row r="330" ht="41" customHeight="1">
      <x:c r="A330" s="53" t="str">
        <x:v>K326</x:v>
      </x:c>
      <x:c r="B330" s="53" t="str">
        <x:v>O08</x:v>
      </x:c>
      <x:c r="C330" s="53" t="str">
        <x:v>跨病种覆盖</x:v>
      </x:c>
      <x:c r="D330" s="53" t="str">
        <x:v>急性重要器官灌注障碍</x:v>
      </x:c>
      <x:c r="E330" s="53" t="str">
        <x:v>visceral malperfusion</x:v>
      </x:c>
      <x:c r="F330" s="53" t="str">
        <x:v>急诊模式</x:v>
      </x:c>
      <x:c r="G330" s="53" t="str">
        <x:v>覆盖候选词（需上下文判定）</x:v>
      </x:c>
      <x:c r="H330" s="53" t="str">
        <x:v>主动脉病变/修复后 AND 新发器官缺血</x:v>
      </x:c>
      <x:c r="I330" s="53" t="str">
        <x:v>仅慢性无症状狭窄</x:v>
      </x:c>
      <x:c r="J330" s="53" t="str">
        <x:v>模式优先级须遵守O表</x:v>
      </x:c>
    </x:row>
    <x:row r="331" ht="41" customHeight="1">
      <x:c r="A331" s="53" t="str">
        <x:v>K327</x:v>
      </x:c>
      <x:c r="B331" s="53" t="str">
        <x:v>O08</x:v>
      </x:c>
      <x:c r="C331" s="53" t="str">
        <x:v>跨病种覆盖</x:v>
      </x:c>
      <x:c r="D331" s="53" t="str">
        <x:v>急性重要器官灌注障碍</x:v>
      </x:c>
      <x:c r="E331" s="53" t="str">
        <x:v>脊髓缺血</x:v>
      </x:c>
      <x:c r="F331" s="53" t="str">
        <x:v>急诊模式</x:v>
      </x:c>
      <x:c r="G331" s="53" t="str">
        <x:v>覆盖候选词（需上下文判定）</x:v>
      </x:c>
      <x:c r="H331" s="53" t="str">
        <x:v>主动脉病变/修复后 AND 新发器官缺血</x:v>
      </x:c>
      <x:c r="I331" s="53" t="str">
        <x:v>仅慢性无症状狭窄</x:v>
      </x:c>
      <x:c r="J331" s="53" t="str">
        <x:v>模式优先级须遵守O表</x:v>
      </x:c>
    </x:row>
    <x:row r="332" ht="41" customHeight="1">
      <x:c r="A332" s="53" t="str">
        <x:v>K328</x:v>
      </x:c>
      <x:c r="B332" s="53" t="str">
        <x:v>O09</x:v>
      </x:c>
      <x:c r="C332" s="53" t="str">
        <x:v>跨病种覆盖</x:v>
      </x:c>
      <x:c r="D332" s="53" t="str">
        <x:v>感染伴危急状态</x:v>
      </x:c>
      <x:c r="E332" s="53" t="str">
        <x:v>脓毒性休克</x:v>
      </x:c>
      <x:c r="F332" s="53" t="str">
        <x:v>急诊模式</x:v>
      </x:c>
      <x:c r="G332" s="53" t="str">
        <x:v>覆盖候选词（需上下文判定）</x:v>
      </x:c>
      <x:c r="H332" s="53" t="str">
        <x:v>存在感染性主动脉病或移植物感染且急性失代偿</x:v>
      </x:c>
      <x:c r="I332" s="53" t="str">
        <x:v>单纯发热/CRP升高且稳定</x:v>
      </x:c>
      <x:c r="J332" s="53" t="str">
        <x:v>模式优先级须遵守O表</x:v>
      </x:c>
    </x:row>
    <x:row r="333" ht="41" customHeight="1">
      <x:c r="A333" s="53" t="str">
        <x:v>K329</x:v>
      </x:c>
      <x:c r="B333" s="53" t="str">
        <x:v>O09</x:v>
      </x:c>
      <x:c r="C333" s="53" t="str">
        <x:v>跨病种覆盖</x:v>
      </x:c>
      <x:c r="D333" s="53" t="str">
        <x:v>感染伴危急状态</x:v>
      </x:c>
      <x:c r="E333" s="53" t="str">
        <x:v>septic shock</x:v>
      </x:c>
      <x:c r="F333" s="53" t="str">
        <x:v>急诊模式</x:v>
      </x:c>
      <x:c r="G333" s="53" t="str">
        <x:v>覆盖候选词（需上下文判定）</x:v>
      </x:c>
      <x:c r="H333" s="53" t="str">
        <x:v>存在感染性主动脉病或移植物感染且急性失代偿</x:v>
      </x:c>
      <x:c r="I333" s="53" t="str">
        <x:v>单纯发热/CRP升高且稳定</x:v>
      </x:c>
      <x:c r="J333" s="53" t="str">
        <x:v>模式优先级须遵守O表</x:v>
      </x:c>
    </x:row>
    <x:row r="334" ht="41" customHeight="1">
      <x:c r="A334" s="53" t="str">
        <x:v>K330</x:v>
      </x:c>
      <x:c r="B334" s="53" t="str">
        <x:v>O09</x:v>
      </x:c>
      <x:c r="C334" s="53" t="str">
        <x:v>跨病种覆盖</x:v>
      </x:c>
      <x:c r="D334" s="53" t="str">
        <x:v>感染伴危急状态</x:v>
      </x:c>
      <x:c r="E334" s="53" t="str">
        <x:v>感染性AAA破裂</x:v>
      </x:c>
      <x:c r="F334" s="53" t="str">
        <x:v>急诊模式</x:v>
      </x:c>
      <x:c r="G334" s="53" t="str">
        <x:v>覆盖候选词（需上下文判定）</x:v>
      </x:c>
      <x:c r="H334" s="53" t="str">
        <x:v>存在感染性主动脉病或移植物感染且急性失代偿</x:v>
      </x:c>
      <x:c r="I334" s="53" t="str">
        <x:v>单纯发热/CRP升高且稳定</x:v>
      </x:c>
      <x:c r="J334" s="53" t="str">
        <x:v>模式优先级须遵守O表</x:v>
      </x:c>
    </x:row>
    <x:row r="335" ht="41" customHeight="1">
      <x:c r="A335" s="53" t="str">
        <x:v>K331</x:v>
      </x:c>
      <x:c r="B335" s="53" t="str">
        <x:v>O10</x:v>
      </x:c>
      <x:c r="C335" s="53" t="str">
        <x:v>跨病种覆盖</x:v>
      </x:c>
      <x:c r="D335" s="53" t="str">
        <x:v>术后危急并发症</x:v>
      </x:c>
      <x:c r="E335" s="53" t="str">
        <x:v>post-EVAR rupture</x:v>
      </x:c>
      <x:c r="F335" s="53" t="str">
        <x:v>急诊模式</x:v>
      </x:c>
      <x:c r="G335" s="53" t="str">
        <x:v>覆盖候选词（需上下文判定）</x:v>
      </x:c>
      <x:c r="H335" s="53" t="str">
        <x:v>当前术后出血/ACS/破裂/重要器官急性缺血</x:v>
      </x:c>
      <x:c r="I335" s="53" t="str">
        <x:v>既往已恢复的术后并发症</x:v>
      </x:c>
      <x:c r="J335" s="53" t="str">
        <x:v>模式优先级须遵守O表</x:v>
      </x:c>
    </x:row>
    <x:row r="336" ht="41" customHeight="1">
      <x:c r="A336" s="53" t="str">
        <x:v>K332</x:v>
      </x:c>
      <x:c r="B336" s="53" t="str">
        <x:v>O10</x:v>
      </x:c>
      <x:c r="C336" s="53" t="str">
        <x:v>跨病种覆盖</x:v>
      </x:c>
      <x:c r="D336" s="53" t="str">
        <x:v>术后危急并发症</x:v>
      </x:c>
      <x:c r="E336" s="53" t="str">
        <x:v>腹腔间隔室综合征</x:v>
      </x:c>
      <x:c r="F336" s="53" t="str">
        <x:v>急诊模式</x:v>
      </x:c>
      <x:c r="G336" s="53" t="str">
        <x:v>覆盖候选词（需上下文判定）</x:v>
      </x:c>
      <x:c r="H336" s="53" t="str">
        <x:v>当前术后出血/ACS/破裂/重要器官急性缺血</x:v>
      </x:c>
      <x:c r="I336" s="53" t="str">
        <x:v>既往已恢复的术后并发症</x:v>
      </x:c>
      <x:c r="J336" s="53" t="str">
        <x:v>模式优先级须遵守O表</x:v>
      </x:c>
    </x:row>
    <x:row r="337" ht="41" customHeight="1">
      <x:c r="A337" s="53" t="str">
        <x:v>K333</x:v>
      </x:c>
      <x:c r="B337" s="53" t="str">
        <x:v>O10</x:v>
      </x:c>
      <x:c r="C337" s="53" t="str">
        <x:v>跨病种覆盖</x:v>
      </x:c>
      <x:c r="D337" s="53" t="str">
        <x:v>术后危急并发症</x:v>
      </x:c>
      <x:c r="E337" s="53" t="str">
        <x:v>术后急性出血</x:v>
      </x:c>
      <x:c r="F337" s="53" t="str">
        <x:v>急诊模式</x:v>
      </x:c>
      <x:c r="G337" s="53" t="str">
        <x:v>覆盖候选词（需上下文判定）</x:v>
      </x:c>
      <x:c r="H337" s="53" t="str">
        <x:v>当前术后出血/ACS/破裂/重要器官急性缺血</x:v>
      </x:c>
      <x:c r="I337" s="53" t="str">
        <x:v>既往已恢复的术后并发症</x:v>
      </x:c>
      <x:c r="J337" s="53" t="str">
        <x:v>模式优先级须遵守O表</x:v>
      </x:c>
    </x:row>
    <x:row r="338" ht="41" customHeight="1">
      <x:c r="A338" s="53" t="str">
        <x:v>K334</x:v>
      </x:c>
      <x:c r="B338" s="53" t="str">
        <x:v>O11</x:v>
      </x:c>
      <x:c r="C338" s="53" t="str">
        <x:v>跨病种覆盖</x:v>
      </x:c>
      <x:c r="D338" s="53" t="str">
        <x:v>严重心衰</x:v>
      </x:c>
      <x:c r="E338" s="53" t="str">
        <x:v>心衰NYHA III</x:v>
      </x:c>
      <x:c r="F338" s="53" t="str">
        <x:v>复杂模式</x:v>
      </x:c>
      <x:c r="G338" s="53" t="str">
        <x:v>覆盖候选词（需上下文判定）</x:v>
      </x:c>
      <x:c r="H338" s="53" t="str">
        <x:v>NYHA≥III 或临床显著重度心衰</x:v>
      </x:c>
      <x:c r="I338" s="53" t="str">
        <x:v>仅NYHA I–II，无其他复杂条件</x:v>
      </x:c>
      <x:c r="J338" s="53" t="str">
        <x:v>模式优先级须遵守O表</x:v>
      </x:c>
    </x:row>
    <x:row r="339" ht="41" customHeight="1">
      <x:c r="A339" s="53" t="str">
        <x:v>K335</x:v>
      </x:c>
      <x:c r="B339" s="53" t="str">
        <x:v>O11</x:v>
      </x:c>
      <x:c r="C339" s="53" t="str">
        <x:v>跨病种覆盖</x:v>
      </x:c>
      <x:c r="D339" s="53" t="str">
        <x:v>严重心衰</x:v>
      </x:c>
      <x:c r="E339" s="53" t="str">
        <x:v>NYHA IV</x:v>
      </x:c>
      <x:c r="F339" s="53" t="str">
        <x:v>复杂模式</x:v>
      </x:c>
      <x:c r="G339" s="53" t="str">
        <x:v>覆盖候选词（需上下文判定）</x:v>
      </x:c>
      <x:c r="H339" s="53" t="str">
        <x:v>NYHA≥III 或临床显著重度心衰</x:v>
      </x:c>
      <x:c r="I339" s="53" t="str">
        <x:v>仅NYHA I–II，无其他复杂条件</x:v>
      </x:c>
      <x:c r="J339" s="53" t="str">
        <x:v>模式优先级须遵守O表</x:v>
      </x:c>
    </x:row>
    <x:row r="340" ht="41" customHeight="1">
      <x:c r="A340" s="53" t="str">
        <x:v>K336</x:v>
      </x:c>
      <x:c r="B340" s="53" t="str">
        <x:v>O11</x:v>
      </x:c>
      <x:c r="C340" s="53" t="str">
        <x:v>跨病种覆盖</x:v>
      </x:c>
      <x:c r="D340" s="53" t="str">
        <x:v>严重心衰</x:v>
      </x:c>
      <x:c r="E340" s="53" t="str">
        <x:v>严重心功能不全</x:v>
      </x:c>
      <x:c r="F340" s="53" t="str">
        <x:v>复杂模式</x:v>
      </x:c>
      <x:c r="G340" s="53" t="str">
        <x:v>覆盖候选词（需上下文判定）</x:v>
      </x:c>
      <x:c r="H340" s="53" t="str">
        <x:v>NYHA≥III 或临床显著重度心衰</x:v>
      </x:c>
      <x:c r="I340" s="53" t="str">
        <x:v>仅NYHA I–II，无其他复杂条件</x:v>
      </x:c>
      <x:c r="J340" s="53" t="str">
        <x:v>模式优先级须遵守O表</x:v>
      </x:c>
    </x:row>
    <x:row r="341" ht="41" customHeight="1">
      <x:c r="A341" s="53" t="str">
        <x:v>K337</x:v>
      </x:c>
      <x:c r="B341" s="53" t="str">
        <x:v>O12</x:v>
      </x:c>
      <x:c r="C341" s="53" t="str">
        <x:v>跨病种覆盖</x:v>
      </x:c>
      <x:c r="D341" s="53" t="str">
        <x:v>COPD并存</x:v>
      </x:c>
      <x:c r="E341" s="53" t="str">
        <x:v>COPD</x:v>
      </x:c>
      <x:c r="F341" s="53" t="str">
        <x:v>复杂模式</x:v>
      </x:c>
      <x:c r="G341" s="53" t="str">
        <x:v>覆盖候选词（需上下文判定）</x:v>
      </x:c>
      <x:c r="H341" s="53" t="str">
        <x:v>明确合并COPD</x:v>
      </x:c>
      <x:c r="I341" s="53" t="str">
        <x:v>仅‘无COPD’‘排除COPD’</x:v>
      </x:c>
      <x:c r="J341" s="53" t="str">
        <x:v>模式优先级须遵守O表</x:v>
      </x:c>
    </x:row>
    <x:row r="342" ht="41" customHeight="1">
      <x:c r="A342" s="53" t="str">
        <x:v>K338</x:v>
      </x:c>
      <x:c r="B342" s="53" t="str">
        <x:v>O12</x:v>
      </x:c>
      <x:c r="C342" s="53" t="str">
        <x:v>跨病种覆盖</x:v>
      </x:c>
      <x:c r="D342" s="53" t="str">
        <x:v>COPD并存</x:v>
      </x:c>
      <x:c r="E342" s="53" t="str">
        <x:v>慢性阻塞性肺疾病</x:v>
      </x:c>
      <x:c r="F342" s="53" t="str">
        <x:v>复杂模式</x:v>
      </x:c>
      <x:c r="G342" s="53" t="str">
        <x:v>覆盖候选词（需上下文判定）</x:v>
      </x:c>
      <x:c r="H342" s="53" t="str">
        <x:v>明确合并COPD</x:v>
      </x:c>
      <x:c r="I342" s="53" t="str">
        <x:v>仅‘无COPD’‘排除COPD’</x:v>
      </x:c>
      <x:c r="J342" s="53" t="str">
        <x:v>模式优先级须遵守O表</x:v>
      </x:c>
    </x:row>
    <x:row r="343" ht="41" customHeight="1">
      <x:c r="A343" s="53" t="str">
        <x:v>K339</x:v>
      </x:c>
      <x:c r="B343" s="53" t="str">
        <x:v>O13</x:v>
      </x:c>
      <x:c r="C343" s="53" t="str">
        <x:v>跨病种覆盖</x:v>
      </x:c>
      <x:c r="D343" s="53" t="str">
        <x:v>CKD≥3期</x:v>
      </x:c>
      <x:c r="E343" s="53" t="str">
        <x:v>CKD3</x:v>
      </x:c>
      <x:c r="F343" s="53" t="str">
        <x:v>复杂模式</x:v>
      </x:c>
      <x:c r="G343" s="53" t="str">
        <x:v>覆盖候选词（需上下文判定）</x:v>
      </x:c>
      <x:c r="H343" s="53" t="str">
        <x:v>已确诊CKD≥3期；如只有eGFR应核实慢性性质</x:v>
      </x:c>
      <x:c r="I343" s="53" t="str">
        <x:v>孤立一次肌酐异常不能确诊CKD分期</x:v>
      </x:c>
      <x:c r="J343" s="53" t="str">
        <x:v>模式优先级须遵守O表</x:v>
      </x:c>
    </x:row>
    <x:row r="344" ht="41" customHeight="1">
      <x:c r="A344" s="53" t="str">
        <x:v>K340</x:v>
      </x:c>
      <x:c r="B344" s="53" t="str">
        <x:v>O13</x:v>
      </x:c>
      <x:c r="C344" s="53" t="str">
        <x:v>跨病种覆盖</x:v>
      </x:c>
      <x:c r="D344" s="53" t="str">
        <x:v>CKD≥3期</x:v>
      </x:c>
      <x:c r="E344" s="53" t="str">
        <x:v>CKD 3期</x:v>
      </x:c>
      <x:c r="F344" s="53" t="str">
        <x:v>复杂模式</x:v>
      </x:c>
      <x:c r="G344" s="53" t="str">
        <x:v>覆盖候选词（需上下文判定）</x:v>
      </x:c>
      <x:c r="H344" s="53" t="str">
        <x:v>已确诊CKD≥3期；如只有eGFR应核实慢性性质</x:v>
      </x:c>
      <x:c r="I344" s="53" t="str">
        <x:v>孤立一次肌酐异常不能确诊CKD分期</x:v>
      </x:c>
      <x:c r="J344" s="53" t="str">
        <x:v>模式优先级须遵守O表</x:v>
      </x:c>
    </x:row>
    <x:row r="345" ht="41" customHeight="1">
      <x:c r="A345" s="53" t="str">
        <x:v>K341</x:v>
      </x:c>
      <x:c r="B345" s="53" t="str">
        <x:v>O13</x:v>
      </x:c>
      <x:c r="C345" s="53" t="str">
        <x:v>跨病种覆盖</x:v>
      </x:c>
      <x:c r="D345" s="53" t="str">
        <x:v>CKD≥3期</x:v>
      </x:c>
      <x:c r="E345" s="53" t="str">
        <x:v>CKD≥3</x:v>
      </x:c>
      <x:c r="F345" s="53" t="str">
        <x:v>复杂模式</x:v>
      </x:c>
      <x:c r="G345" s="53" t="str">
        <x:v>覆盖候选词（需上下文判定）</x:v>
      </x:c>
      <x:c r="H345" s="53" t="str">
        <x:v>已确诊CKD≥3期；如只有eGFR应核实慢性性质</x:v>
      </x:c>
      <x:c r="I345" s="53" t="str">
        <x:v>孤立一次肌酐异常不能确诊CKD分期</x:v>
      </x:c>
      <x:c r="J345" s="53" t="str">
        <x:v>模式优先级须遵守O表</x:v>
      </x:c>
    </x:row>
    <x:row r="346" ht="41" customHeight="1">
      <x:c r="A346" s="53" t="str">
        <x:v>K342</x:v>
      </x:c>
      <x:c r="B346" s="53" t="str">
        <x:v>O13</x:v>
      </x:c>
      <x:c r="C346" s="53" t="str">
        <x:v>跨病种覆盖</x:v>
      </x:c>
      <x:c r="D346" s="53" t="str">
        <x:v>CKD≥3期</x:v>
      </x:c>
      <x:c r="E346" s="53" t="str">
        <x:v>CKD stage 3</x:v>
      </x:c>
      <x:c r="F346" s="53" t="str">
        <x:v>复杂模式</x:v>
      </x:c>
      <x:c r="G346" s="53" t="str">
        <x:v>覆盖候选词（需上下文判定）</x:v>
      </x:c>
      <x:c r="H346" s="53" t="str">
        <x:v>已确诊CKD≥3期；如只有eGFR应核实慢性性质</x:v>
      </x:c>
      <x:c r="I346" s="53" t="str">
        <x:v>孤立一次肌酐异常不能确诊CKD分期</x:v>
      </x:c>
      <x:c r="J346" s="53" t="str">
        <x:v>模式优先级须遵守O表</x:v>
      </x:c>
    </x:row>
    <x:row r="347" ht="41" customHeight="1">
      <x:c r="A347" s="53" t="str">
        <x:v>K343</x:v>
      </x:c>
      <x:c r="B347" s="53" t="str">
        <x:v>O13</x:v>
      </x:c>
      <x:c r="C347" s="53" t="str">
        <x:v>跨病种覆盖</x:v>
      </x:c>
      <x:c r="D347" s="53" t="str">
        <x:v>CKD≥3期</x:v>
      </x:c>
      <x:c r="E347" s="53" t="str">
        <x:v>eGFR下降</x:v>
      </x:c>
      <x:c r="F347" s="53" t="str">
        <x:v>复杂模式</x:v>
      </x:c>
      <x:c r="G347" s="53" t="str">
        <x:v>覆盖候选词（需上下文判定）</x:v>
      </x:c>
      <x:c r="H347" s="53" t="str">
        <x:v>已确诊CKD≥3期；如只有eGFR应核实慢性性质</x:v>
      </x:c>
      <x:c r="I347" s="53" t="str">
        <x:v>孤立一次肌酐异常不能确诊CKD分期</x:v>
      </x:c>
      <x:c r="J347" s="53" t="str">
        <x:v>模式优先级须遵守O表</x:v>
      </x:c>
    </x:row>
    <x:row r="348" ht="41" customHeight="1">
      <x:c r="A348" s="53" t="str">
        <x:v>K344</x:v>
      </x:c>
      <x:c r="B348" s="53" t="str">
        <x:v>O14</x:v>
      </x:c>
      <x:c r="C348" s="53" t="str">
        <x:v>跨病种覆盖</x:v>
      </x:c>
      <x:c r="D348" s="53" t="str">
        <x:v>冠心病CAD</x:v>
      </x:c>
      <x:c r="E348" s="53" t="str">
        <x:v>CAD</x:v>
      </x:c>
      <x:c r="F348" s="53" t="str">
        <x:v>复杂模式</x:v>
      </x:c>
      <x:c r="G348" s="53" t="str">
        <x:v>覆盖候选词（需上下文判定）</x:v>
      </x:c>
      <x:c r="H348" s="53" t="str">
        <x:v>已确诊并存冠心病</x:v>
      </x:c>
      <x:c r="I348" s="53" t="str">
        <x:v>‘无CAD’或陈旧排除诊断</x:v>
      </x:c>
      <x:c r="J348" s="53" t="str">
        <x:v>模式优先级须遵守O表</x:v>
      </x:c>
    </x:row>
    <x:row r="349" ht="41" customHeight="1">
      <x:c r="A349" s="53" t="str">
        <x:v>K345</x:v>
      </x:c>
      <x:c r="B349" s="53" t="str">
        <x:v>O14</x:v>
      </x:c>
      <x:c r="C349" s="53" t="str">
        <x:v>跨病种覆盖</x:v>
      </x:c>
      <x:c r="D349" s="53" t="str">
        <x:v>冠心病CAD</x:v>
      </x:c>
      <x:c r="E349" s="53" t="str">
        <x:v>冠心病</x:v>
      </x:c>
      <x:c r="F349" s="53" t="str">
        <x:v>复杂模式</x:v>
      </x:c>
      <x:c r="G349" s="53" t="str">
        <x:v>覆盖候选词（需上下文判定）</x:v>
      </x:c>
      <x:c r="H349" s="53" t="str">
        <x:v>已确诊并存冠心病</x:v>
      </x:c>
      <x:c r="I349" s="53" t="str">
        <x:v>‘无CAD’或陈旧排除诊断</x:v>
      </x:c>
      <x:c r="J349" s="53" t="str">
        <x:v>模式优先级须遵守O表</x:v>
      </x:c>
    </x:row>
    <x:row r="350" ht="41" customHeight="1">
      <x:c r="A350" s="53" t="str">
        <x:v>K346</x:v>
      </x:c>
      <x:c r="B350" s="53" t="str">
        <x:v>O14</x:v>
      </x:c>
      <x:c r="C350" s="53" t="str">
        <x:v>跨病种覆盖</x:v>
      </x:c>
      <x:c r="D350" s="53" t="str">
        <x:v>冠心病CAD</x:v>
      </x:c>
      <x:c r="E350" s="53" t="str">
        <x:v>coronary artery disease</x:v>
      </x:c>
      <x:c r="F350" s="53" t="str">
        <x:v>复杂模式</x:v>
      </x:c>
      <x:c r="G350" s="53" t="str">
        <x:v>覆盖候选词（需上下文判定）</x:v>
      </x:c>
      <x:c r="H350" s="53" t="str">
        <x:v>已确诊并存冠心病</x:v>
      </x:c>
      <x:c r="I350" s="53" t="str">
        <x:v>‘无CAD’或陈旧排除诊断</x:v>
      </x:c>
      <x:c r="J350" s="53" t="str">
        <x:v>模式优先级须遵守O表</x:v>
      </x:c>
    </x:row>
    <x:row r="351" ht="41" customHeight="1">
      <x:c r="A351" s="53" t="str">
        <x:v>K347</x:v>
      </x:c>
      <x:c r="B351" s="53" t="str">
        <x:v>O15</x:v>
      </x:c>
      <x:c r="C351" s="53" t="str">
        <x:v>跨病种覆盖</x:v>
      </x:c>
      <x:c r="D351" s="53" t="str">
        <x:v>不良瘤颈长度</x:v>
      </x:c>
      <x:c r="E351" s="53" t="str">
        <x:v>瘤颈&lt;15mm</x:v>
      </x:c>
      <x:c r="F351" s="53" t="str">
        <x:v>复杂模式</x:v>
      </x:c>
      <x:c r="G351" s="53" t="str">
        <x:v>覆盖候选词（需上下文判定）</x:v>
      </x:c>
      <x:c r="H351" s="53" t="str">
        <x:v>拟常规EVAR场景且实际近端瘤颈长度&lt;15mm</x:v>
      </x:c>
      <x:c r="I351" s="53" t="str">
        <x:v>数据缺失不能默认为短；短瘤颈可由术者另有策略</x:v>
      </x:c>
      <x:c r="J351" s="53" t="str">
        <x:v>模式优先级须遵守O表</x:v>
      </x:c>
    </x:row>
    <x:row r="352" ht="41" customHeight="1">
      <x:c r="A352" s="53" t="str">
        <x:v>K348</x:v>
      </x:c>
      <x:c r="B352" s="53" t="str">
        <x:v>O15</x:v>
      </x:c>
      <x:c r="C352" s="53" t="str">
        <x:v>跨病种覆盖</x:v>
      </x:c>
      <x:c r="D352" s="53" t="str">
        <x:v>不良瘤颈长度</x:v>
      </x:c>
      <x:c r="E352" s="53" t="str">
        <x:v>short neck</x:v>
      </x:c>
      <x:c r="F352" s="53" t="str">
        <x:v>复杂模式</x:v>
      </x:c>
      <x:c r="G352" s="53" t="str">
        <x:v>覆盖候选词（需上下文判定）</x:v>
      </x:c>
      <x:c r="H352" s="53" t="str">
        <x:v>拟常规EVAR场景且实际近端瘤颈长度&lt;15mm</x:v>
      </x:c>
      <x:c r="I352" s="53" t="str">
        <x:v>数据缺失不能默认为短；短瘤颈可由术者另有策略</x:v>
      </x:c>
      <x:c r="J352" s="53" t="str">
        <x:v>模式优先级须遵守O表</x:v>
      </x:c>
    </x:row>
    <x:row r="353" ht="41" customHeight="1">
      <x:c r="A353" s="53" t="str">
        <x:v>K349</x:v>
      </x:c>
      <x:c r="B353" s="53" t="str">
        <x:v>O15</x:v>
      </x:c>
      <x:c r="C353" s="53" t="str">
        <x:v>跨病种覆盖</x:v>
      </x:c>
      <x:c r="D353" s="53" t="str">
        <x:v>不良瘤颈长度</x:v>
      </x:c>
      <x:c r="E353" s="53" t="str">
        <x:v>短瘤颈</x:v>
      </x:c>
      <x:c r="F353" s="53" t="str">
        <x:v>复杂模式</x:v>
      </x:c>
      <x:c r="G353" s="53" t="str">
        <x:v>覆盖候选词（需上下文判定）</x:v>
      </x:c>
      <x:c r="H353" s="53" t="str">
        <x:v>拟常规EVAR场景且实际近端瘤颈长度&lt;15mm</x:v>
      </x:c>
      <x:c r="I353" s="53" t="str">
        <x:v>数据缺失不能默认为短；短瘤颈可由术者另有策略</x:v>
      </x:c>
      <x:c r="J353" s="53" t="str">
        <x:v>模式优先级须遵守O表</x:v>
      </x:c>
    </x:row>
    <x:row r="354" ht="41" customHeight="1">
      <x:c r="A354" s="53" t="str">
        <x:v>K350</x:v>
      </x:c>
      <x:c r="B354" s="53" t="str">
        <x:v>O16</x:v>
      </x:c>
      <x:c r="C354" s="53" t="str">
        <x:v>跨病种覆盖</x:v>
      </x:c>
      <x:c r="D354" s="53" t="str">
        <x:v>瘤颈过度成角</x:v>
      </x:c>
      <x:c r="E354" s="53" t="str">
        <x:v>瘤颈成角&gt;45°</x:v>
      </x:c>
      <x:c r="F354" s="53" t="str">
        <x:v>复杂模式</x:v>
      </x:c>
      <x:c r="G354" s="53" t="str">
        <x:v>覆盖候选词（需上下文判定）</x:v>
      </x:c>
      <x:c r="H354" s="53" t="str">
        <x:v>拟常规EVAR场景，量化成角&gt;45°</x:v>
      </x:c>
      <x:c r="I354" s="53" t="str">
        <x:v>某器械允许角度并不等于图中45阈值被废除</x:v>
      </x:c>
      <x:c r="J354" s="53" t="str">
        <x:v>模式优先级须遵守O表</x:v>
      </x:c>
    </x:row>
    <x:row r="355" ht="41" customHeight="1">
      <x:c r="A355" s="53" t="str">
        <x:v>K351</x:v>
      </x:c>
      <x:c r="B355" s="53" t="str">
        <x:v>O16</x:v>
      </x:c>
      <x:c r="C355" s="53" t="str">
        <x:v>跨病种覆盖</x:v>
      </x:c>
      <x:c r="D355" s="53" t="str">
        <x:v>瘤颈过度成角</x:v>
      </x:c>
      <x:c r="E355" s="53" t="str">
        <x:v>neck angulation &gt;45</x:v>
      </x:c>
      <x:c r="F355" s="53" t="str">
        <x:v>复杂模式</x:v>
      </x:c>
      <x:c r="G355" s="53" t="str">
        <x:v>覆盖候选词（需上下文判定）</x:v>
      </x:c>
      <x:c r="H355" s="53" t="str">
        <x:v>拟常规EVAR场景，量化成角&gt;45°</x:v>
      </x:c>
      <x:c r="I355" s="53" t="str">
        <x:v>某器械允许角度并不等于图中45阈值被废除</x:v>
      </x:c>
      <x:c r="J355" s="53" t="str">
        <x:v>模式优先级须遵守O表</x:v>
      </x:c>
    </x:row>
    <x:row r="356" ht="41" customHeight="1">
      <x:c r="A356" s="53" t="str">
        <x:v>K352</x:v>
      </x:c>
      <x:c r="B356" s="53" t="str">
        <x:v>O16</x:v>
      </x:c>
      <x:c r="C356" s="53" t="str">
        <x:v>跨病种覆盖</x:v>
      </x:c>
      <x:c r="D356" s="53" t="str">
        <x:v>瘤颈过度成角</x:v>
      </x:c>
      <x:c r="E356" s="53" t="str">
        <x:v>严重成角</x:v>
      </x:c>
      <x:c r="F356" s="53" t="str">
        <x:v>复杂模式</x:v>
      </x:c>
      <x:c r="G356" s="53" t="str">
        <x:v>覆盖候选词（需上下文判定）</x:v>
      </x:c>
      <x:c r="H356" s="53" t="str">
        <x:v>拟常规EVAR场景，量化成角&gt;45°</x:v>
      </x:c>
      <x:c r="I356" s="53" t="str">
        <x:v>某器械允许角度并不等于图中45阈值被废除</x:v>
      </x:c>
      <x:c r="J356" s="53" t="str">
        <x:v>模式优先级须遵守O表</x:v>
      </x:c>
    </x:row>
    <x:row r="357" ht="41" customHeight="1">
      <x:c r="A357" s="53" t="str">
        <x:v>K353</x:v>
      </x:c>
      <x:c r="B357" s="53" t="str">
        <x:v>O17</x:v>
      </x:c>
      <x:c r="C357" s="53" t="str">
        <x:v>跨病种覆盖</x:v>
      </x:c>
      <x:c r="D357" s="53" t="str">
        <x:v>入路直径不足</x:v>
      </x:c>
      <x:c r="E357" s="53" t="str">
        <x:v>入路&lt;7mm</x:v>
      </x:c>
      <x:c r="F357" s="53" t="str">
        <x:v>复杂模式</x:v>
      </x:c>
      <x:c r="G357" s="53" t="str">
        <x:v>覆盖候选词（需上下文判定）</x:v>
      </x:c>
      <x:c r="H357" s="53" t="str">
        <x:v>拟常规EVAR且相关入路实际最小直径&lt;7mm</x:v>
      </x:c>
      <x:c r="I357" s="53" t="str">
        <x:v>不同支架最小通路要求可能不同</x:v>
      </x:c>
      <x:c r="J357" s="53" t="str">
        <x:v>模式优先级须遵守O表</x:v>
      </x:c>
    </x:row>
    <x:row r="358" ht="41" customHeight="1">
      <x:c r="A358" s="53" t="str">
        <x:v>K354</x:v>
      </x:c>
      <x:c r="B358" s="53" t="str">
        <x:v>O17</x:v>
      </x:c>
      <x:c r="C358" s="53" t="str">
        <x:v>跨病种覆盖</x:v>
      </x:c>
      <x:c r="D358" s="53" t="str">
        <x:v>入路直径不足</x:v>
      </x:c>
      <x:c r="E358" s="53" t="str">
        <x:v>access diameter &lt;7</x:v>
      </x:c>
      <x:c r="F358" s="53" t="str">
        <x:v>复杂模式</x:v>
      </x:c>
      <x:c r="G358" s="53" t="str">
        <x:v>覆盖候选词（需上下文判定）</x:v>
      </x:c>
      <x:c r="H358" s="53" t="str">
        <x:v>拟常规EVAR且相关入路实际最小直径&lt;7mm</x:v>
      </x:c>
      <x:c r="I358" s="53" t="str">
        <x:v>不同支架最小通路要求可能不同</x:v>
      </x:c>
      <x:c r="J358" s="53" t="str">
        <x:v>模式优先级须遵守O表</x:v>
      </x:c>
    </x:row>
    <x:row r="359" ht="41" customHeight="1">
      <x:c r="A359" s="53" t="str">
        <x:v>K355</x:v>
      </x:c>
      <x:c r="B359" s="53" t="str">
        <x:v>O17</x:v>
      </x:c>
      <x:c r="C359" s="53" t="str">
        <x:v>跨病种覆盖</x:v>
      </x:c>
      <x:c r="D359" s="53" t="str">
        <x:v>入路直径不足</x:v>
      </x:c>
      <x:c r="E359" s="53" t="str">
        <x:v>细小髂动脉</x:v>
      </x:c>
      <x:c r="F359" s="53" t="str">
        <x:v>复杂模式</x:v>
      </x:c>
      <x:c r="G359" s="53" t="str">
        <x:v>覆盖候选词（需上下文判定）</x:v>
      </x:c>
      <x:c r="H359" s="53" t="str">
        <x:v>拟常规EVAR且相关入路实际最小直径&lt;7mm</x:v>
      </x:c>
      <x:c r="I359" s="53" t="str">
        <x:v>不同支架最小通路要求可能不同</x:v>
      </x:c>
      <x:c r="J359" s="53" t="str">
        <x:v>模式优先级须遵守O表</x:v>
      </x:c>
    </x:row>
    <x:row r="360" ht="41" customHeight="1">
      <x:c r="A360" s="53" t="str">
        <x:v>K356</x:v>
      </x:c>
      <x:c r="B360" s="53" t="str">
        <x:v>O18</x:v>
      </x:c>
      <x:c r="C360" s="53" t="str">
        <x:v>跨病种覆盖</x:v>
      </x:c>
      <x:c r="D360" s="53" t="str">
        <x:v>瘤颈血栓或钙化严重</x:v>
      </x:c>
      <x:c r="E360" s="53" t="str">
        <x:v>瘤颈血栓&gt;50%</x:v>
      </x:c>
      <x:c r="F360" s="53" t="str">
        <x:v>复杂模式</x:v>
      </x:c>
      <x:c r="G360" s="53" t="str">
        <x:v>覆盖候选词（需上下文判定）</x:v>
      </x:c>
      <x:c r="H360" s="53" t="str">
        <x:v>符合原图量化高危特征或临床认为封闭区不佳</x:v>
      </x:c>
      <x:c r="I360" s="53" t="str">
        <x:v>少量血栓/钙化不自动触发</x:v>
      </x:c>
      <x:c r="J360" s="53" t="str">
        <x:v>模式优先级须遵守O表</x:v>
      </x:c>
    </x:row>
    <x:row r="361" ht="41" customHeight="1">
      <x:c r="A361" s="53" t="str">
        <x:v>K357</x:v>
      </x:c>
      <x:c r="B361" s="53" t="str">
        <x:v>O18</x:v>
      </x:c>
      <x:c r="C361" s="53" t="str">
        <x:v>跨病种覆盖</x:v>
      </x:c>
      <x:c r="D361" s="53" t="str">
        <x:v>瘤颈血栓或钙化严重</x:v>
      </x:c>
      <x:c r="E361" s="53" t="str">
        <x:v>瘤颈钙化&gt;50%</x:v>
      </x:c>
      <x:c r="F361" s="53" t="str">
        <x:v>复杂模式</x:v>
      </x:c>
      <x:c r="G361" s="53" t="str">
        <x:v>覆盖候选词（需上下文判定）</x:v>
      </x:c>
      <x:c r="H361" s="53" t="str">
        <x:v>符合原图量化高危特征或临床认为封闭区不佳</x:v>
      </x:c>
      <x:c r="I361" s="53" t="str">
        <x:v>少量血栓/钙化不自动触发</x:v>
      </x:c>
      <x:c r="J361" s="53" t="str">
        <x:v>模式优先级须遵守O表</x:v>
      </x:c>
    </x:row>
    <x:row r="362" ht="41" customHeight="1">
      <x:c r="A362" s="53" t="str">
        <x:v>K358</x:v>
      </x:c>
      <x:c r="B362" s="53" t="str">
        <x:v>O18</x:v>
      </x:c>
      <x:c r="C362" s="53" t="str">
        <x:v>跨病种覆盖</x:v>
      </x:c>
      <x:c r="D362" s="53" t="str">
        <x:v>瘤颈血栓或钙化严重</x:v>
      </x:c>
      <x:c r="E362" s="53" t="str">
        <x:v>severe neck thrombus</x:v>
      </x:c>
      <x:c r="F362" s="53" t="str">
        <x:v>复杂模式</x:v>
      </x:c>
      <x:c r="G362" s="53" t="str">
        <x:v>覆盖候选词（需上下文判定）</x:v>
      </x:c>
      <x:c r="H362" s="53" t="str">
        <x:v>符合原图量化高危特征或临床认为封闭区不佳</x:v>
      </x:c>
      <x:c r="I362" s="53" t="str">
        <x:v>少量血栓/钙化不自动触发</x:v>
      </x:c>
      <x:c r="J362" s="53" t="str">
        <x:v>模式优先级须遵守O表</x:v>
      </x:c>
    </x:row>
    <x:row r="363" ht="41" customHeight="1">
      <x:c r="A363" s="53" t="str">
        <x:v>K359</x:v>
      </x:c>
      <x:c r="B363" s="53" t="str">
        <x:v>O19</x:v>
      </x:c>
      <x:c r="C363" s="53" t="str">
        <x:v>跨病种覆盖</x:v>
      </x:c>
      <x:c r="D363" s="53" t="str">
        <x:v>极度成角/迂曲</x:v>
      </x:c>
      <x:c r="E363" s="53" t="str">
        <x:v>成角&gt;90°</x:v>
      </x:c>
      <x:c r="F363" s="53" t="str">
        <x:v>复杂模式</x:v>
      </x:c>
      <x:c r="G363" s="53" t="str">
        <x:v>覆盖候选词（需上下文判定）</x:v>
      </x:c>
      <x:c r="H363" s="53" t="str">
        <x:v>CTA量化/临床解剖判断异常</x:v>
      </x:c>
      <x:c r="I363" s="53" t="str">
        <x:v>无证据的主观描述</x:v>
      </x:c>
      <x:c r="J363" s="53" t="str">
        <x:v>模式优先级须遵守O表</x:v>
      </x:c>
    </x:row>
    <x:row r="364" ht="41" customHeight="1">
      <x:c r="A364" s="53" t="str">
        <x:v>K360</x:v>
      </x:c>
      <x:c r="B364" s="53" t="str">
        <x:v>O19</x:v>
      </x:c>
      <x:c r="C364" s="53" t="str">
        <x:v>跨病种覆盖</x:v>
      </x:c>
      <x:c r="D364" s="53" t="str">
        <x:v>极度成角/迂曲</x:v>
      </x:c>
      <x:c r="E364" s="53" t="str">
        <x:v>严重迂曲</x:v>
      </x:c>
      <x:c r="F364" s="53" t="str">
        <x:v>复杂模式</x:v>
      </x:c>
      <x:c r="G364" s="53" t="str">
        <x:v>覆盖候选词（需上下文判定）</x:v>
      </x:c>
      <x:c r="H364" s="53" t="str">
        <x:v>CTA量化/临床解剖判断异常</x:v>
      </x:c>
      <x:c r="I364" s="53" t="str">
        <x:v>无证据的主观描述</x:v>
      </x:c>
      <x:c r="J364" s="53" t="str">
        <x:v>模式优先级须遵守O表</x:v>
      </x:c>
    </x:row>
    <x:row r="365" ht="41" customHeight="1">
      <x:c r="A365" s="53" t="str">
        <x:v>K361</x:v>
      </x:c>
      <x:c r="B365" s="53" t="str">
        <x:v>O19</x:v>
      </x:c>
      <x:c r="C365" s="53" t="str">
        <x:v>跨病种覆盖</x:v>
      </x:c>
      <x:c r="D365" s="53" t="str">
        <x:v>极度成角/迂曲</x:v>
      </x:c>
      <x:c r="E365" s="53" t="str">
        <x:v>extreme tortuosity</x:v>
      </x:c>
      <x:c r="F365" s="53" t="str">
        <x:v>复杂模式</x:v>
      </x:c>
      <x:c r="G365" s="53" t="str">
        <x:v>覆盖候选词（需上下文判定）</x:v>
      </x:c>
      <x:c r="H365" s="53" t="str">
        <x:v>CTA量化/临床解剖判断异常</x:v>
      </x:c>
      <x:c r="I365" s="53" t="str">
        <x:v>无证据的主观描述</x:v>
      </x:c>
      <x:c r="J365" s="53" t="str">
        <x:v>模式优先级须遵守O表</x:v>
      </x:c>
    </x:row>
    <x:row r="366" ht="41" customHeight="1">
      <x:c r="A366" s="53" t="str">
        <x:v>K362</x:v>
      </x:c>
      <x:c r="B366" s="53" t="str">
        <x:v>O20</x:v>
      </x:c>
      <x:c r="C366" s="53" t="str">
        <x:v>跨病种覆盖</x:v>
      </x:c>
      <x:c r="D366" s="53" t="str">
        <x:v>近肾/旁肾/近内脏AAA</x:v>
      </x:c>
      <x:c r="E366" s="53" t="str">
        <x:v>juxtarenal</x:v>
      </x:c>
      <x:c r="F366" s="53" t="str">
        <x:v>复杂模式</x:v>
      </x:c>
      <x:c r="G366" s="53" t="str">
        <x:v>覆盖候选词（需上下文判定）</x:v>
      </x:c>
      <x:c r="H366" s="53" t="str">
        <x:v>解剖学类型确证</x:v>
      </x:c>
      <x:c r="I366" s="53" t="str">
        <x:v>单纯‘肾下型AAA’不触发</x:v>
      </x:c>
      <x:c r="J366" s="53" t="str">
        <x:v>模式优先级须遵守O表</x:v>
      </x:c>
    </x:row>
    <x:row r="367" ht="41" customHeight="1">
      <x:c r="A367" s="53" t="str">
        <x:v>K363</x:v>
      </x:c>
      <x:c r="B367" s="53" t="str">
        <x:v>O20</x:v>
      </x:c>
      <x:c r="C367" s="53" t="str">
        <x:v>跨病种覆盖</x:v>
      </x:c>
      <x:c r="D367" s="53" t="str">
        <x:v>近肾/旁肾/近内脏AAA</x:v>
      </x:c>
      <x:c r="E367" s="53" t="str">
        <x:v>pararenal</x:v>
      </x:c>
      <x:c r="F367" s="53" t="str">
        <x:v>复杂模式</x:v>
      </x:c>
      <x:c r="G367" s="53" t="str">
        <x:v>覆盖候选词（需上下文判定）</x:v>
      </x:c>
      <x:c r="H367" s="53" t="str">
        <x:v>解剖学类型确证</x:v>
      </x:c>
      <x:c r="I367" s="53" t="str">
        <x:v>单纯‘肾下型AAA’不触发</x:v>
      </x:c>
      <x:c r="J367" s="53" t="str">
        <x:v>模式优先级须遵守O表</x:v>
      </x:c>
    </x:row>
    <x:row r="368" ht="41" customHeight="1">
      <x:c r="A368" s="53" t="str">
        <x:v>K364</x:v>
      </x:c>
      <x:c r="B368" s="53" t="str">
        <x:v>O20</x:v>
      </x:c>
      <x:c r="C368" s="53" t="str">
        <x:v>跨病种覆盖</x:v>
      </x:c>
      <x:c r="D368" s="53" t="str">
        <x:v>近肾/旁肾/近内脏AAA</x:v>
      </x:c>
      <x:c r="E368" s="53" t="str">
        <x:v>paravisceral</x:v>
      </x:c>
      <x:c r="F368" s="53" t="str">
        <x:v>复杂模式</x:v>
      </x:c>
      <x:c r="G368" s="53" t="str">
        <x:v>覆盖候选词（需上下文判定）</x:v>
      </x:c>
      <x:c r="H368" s="53" t="str">
        <x:v>解剖学类型确证</x:v>
      </x:c>
      <x:c r="I368" s="53" t="str">
        <x:v>单纯‘肾下型AAA’不触发</x:v>
      </x:c>
      <x:c r="J368" s="53" t="str">
        <x:v>模式优先级须遵守O表</x:v>
      </x:c>
    </x:row>
    <x:row r="369" ht="41" customHeight="1">
      <x:c r="A369" s="53" t="str">
        <x:v>K365</x:v>
      </x:c>
      <x:c r="B369" s="53" t="str">
        <x:v>O20</x:v>
      </x:c>
      <x:c r="C369" s="53" t="str">
        <x:v>跨病种覆盖</x:v>
      </x:c>
      <x:c r="D369" s="53" t="str">
        <x:v>近肾/旁肾/近内脏AAA</x:v>
      </x:c>
      <x:c r="E369" s="53" t="str">
        <x:v>IV TAAA</x:v>
      </x:c>
      <x:c r="F369" s="53" t="str">
        <x:v>复杂模式</x:v>
      </x:c>
      <x:c r="G369" s="53" t="str">
        <x:v>覆盖候选词（需上下文判定）</x:v>
      </x:c>
      <x:c r="H369" s="53" t="str">
        <x:v>解剖学类型确证</x:v>
      </x:c>
      <x:c r="I369" s="53" t="str">
        <x:v>单纯‘肾下型AAA’不触发</x:v>
      </x:c>
      <x:c r="J369" s="53" t="str">
        <x:v>模式优先级须遵守O表</x:v>
      </x:c>
    </x:row>
    <x:row r="370" ht="41" customHeight="1">
      <x:c r="A370" s="53" t="str">
        <x:v>K366</x:v>
      </x:c>
      <x:c r="B370" s="53" t="str">
        <x:v>O20</x:v>
      </x:c>
      <x:c r="C370" s="53" t="str">
        <x:v>跨病种覆盖</x:v>
      </x:c>
      <x:c r="D370" s="53" t="str">
        <x:v>近肾/旁肾/近内脏AAA</x:v>
      </x:c>
      <x:c r="E370" s="53" t="str">
        <x:v>近肾型AAA</x:v>
      </x:c>
      <x:c r="F370" s="53" t="str">
        <x:v>复杂模式</x:v>
      </x:c>
      <x:c r="G370" s="53" t="str">
        <x:v>覆盖候选词（需上下文判定）</x:v>
      </x:c>
      <x:c r="H370" s="53" t="str">
        <x:v>解剖学类型确证</x:v>
      </x:c>
      <x:c r="I370" s="53" t="str">
        <x:v>单纯‘肾下型AAA’不触发</x:v>
      </x:c>
      <x:c r="J370" s="53" t="str">
        <x:v>模式优先级须遵守O表</x:v>
      </x:c>
    </x:row>
    <x:row r="371" ht="41" customHeight="1">
      <x:c r="A371" s="53" t="str">
        <x:v>K367</x:v>
      </x:c>
      <x:c r="B371" s="53" t="str">
        <x:v>O21</x:v>
      </x:c>
      <x:c r="C371" s="53" t="str">
        <x:v>跨病种覆盖</x:v>
      </x:c>
      <x:c r="D371" s="53" t="str">
        <x:v>特殊主动脉病变</x:v>
      </x:c>
      <x:c r="E371" s="53" t="str">
        <x:v>感染性动脉瘤</x:v>
      </x:c>
      <x:c r="F371" s="53" t="str">
        <x:v>复杂模式</x:v>
      </x:c>
      <x:c r="G371" s="53" t="str">
        <x:v>覆盖候选词（需上下文判定）</x:v>
      </x:c>
      <x:c r="H371" s="53" t="str">
        <x:v>确有特殊病种且当前不存在更高急症</x:v>
      </x:c>
      <x:c r="I371" s="53" t="str">
        <x:v>否定词、历史病史不能算当前诊断</x:v>
      </x:c>
      <x:c r="J371" s="53" t="str">
        <x:v>模式优先级须遵守O表</x:v>
      </x:c>
    </x:row>
    <x:row r="372" ht="41" customHeight="1">
      <x:c r="A372" s="53" t="str">
        <x:v>K368</x:v>
      </x:c>
      <x:c r="B372" s="53" t="str">
        <x:v>O21</x:v>
      </x:c>
      <x:c r="C372" s="53" t="str">
        <x:v>跨病种覆盖</x:v>
      </x:c>
      <x:c r="D372" s="53" t="str">
        <x:v>特殊主动脉病变</x:v>
      </x:c>
      <x:c r="E372" s="53" t="str">
        <x:v>炎症性AAA</x:v>
      </x:c>
      <x:c r="F372" s="53" t="str">
        <x:v>复杂模式</x:v>
      </x:c>
      <x:c r="G372" s="53" t="str">
        <x:v>覆盖候选词（需上下文判定）</x:v>
      </x:c>
      <x:c r="H372" s="53" t="str">
        <x:v>确有特殊病种且当前不存在更高急症</x:v>
      </x:c>
      <x:c r="I372" s="53" t="str">
        <x:v>否定词、历史病史不能算当前诊断</x:v>
      </x:c>
      <x:c r="J372" s="53" t="str">
        <x:v>模式优先级须遵守O表</x:v>
      </x:c>
    </x:row>
    <x:row r="373" ht="41" customHeight="1">
      <x:c r="A373" s="53" t="str">
        <x:v>K369</x:v>
      </x:c>
      <x:c r="B373" s="53" t="str">
        <x:v>O21</x:v>
      </x:c>
      <x:c r="C373" s="53" t="str">
        <x:v>跨病种覆盖</x:v>
      </x:c>
      <x:c r="D373" s="53" t="str">
        <x:v>特殊主动脉病变</x:v>
      </x:c>
      <x:c r="E373" s="53" t="str">
        <x:v>囊状AAA</x:v>
      </x:c>
      <x:c r="F373" s="53" t="str">
        <x:v>复杂模式</x:v>
      </x:c>
      <x:c r="G373" s="53" t="str">
        <x:v>覆盖候选词（需上下文判定）</x:v>
      </x:c>
      <x:c r="H373" s="53" t="str">
        <x:v>确有特殊病种且当前不存在更高急症</x:v>
      </x:c>
      <x:c r="I373" s="53" t="str">
        <x:v>否定词、历史病史不能算当前诊断</x:v>
      </x:c>
      <x:c r="J373" s="53" t="str">
        <x:v>模式优先级须遵守O表</x:v>
      </x:c>
    </x:row>
    <x:row r="374" ht="41" customHeight="1">
      <x:c r="A374" s="53" t="str">
        <x:v>K370</x:v>
      </x:c>
      <x:c r="B374" s="53" t="str">
        <x:v>O21</x:v>
      </x:c>
      <x:c r="C374" s="53" t="str">
        <x:v>跨病种覆盖</x:v>
      </x:c>
      <x:c r="D374" s="53" t="str">
        <x:v>特殊主动脉病变</x:v>
      </x:c>
      <x:c r="E374" s="53" t="str">
        <x:v>PAU</x:v>
      </x:c>
      <x:c r="F374" s="53" t="str">
        <x:v>复杂模式</x:v>
      </x:c>
      <x:c r="G374" s="53" t="str">
        <x:v>覆盖候选词（需上下文判定）</x:v>
      </x:c>
      <x:c r="H374" s="53" t="str">
        <x:v>确有特殊病种且当前不存在更高急症</x:v>
      </x:c>
      <x:c r="I374" s="53" t="str">
        <x:v>否定词、历史病史不能算当前诊断</x:v>
      </x:c>
      <x:c r="J374" s="53" t="str">
        <x:v>模式优先级须遵守O表</x:v>
      </x:c>
    </x:row>
    <x:row r="375" ht="41" customHeight="1">
      <x:c r="A375" s="53" t="str">
        <x:v>K371</x:v>
      </x:c>
      <x:c r="B375" s="53" t="str">
        <x:v>O21</x:v>
      </x:c>
      <x:c r="C375" s="53" t="str">
        <x:v>跨病种覆盖</x:v>
      </x:c>
      <x:c r="D375" s="53" t="str">
        <x:v>特殊主动脉病变</x:v>
      </x:c>
      <x:c r="E375" s="53" t="str">
        <x:v>IMH</x:v>
      </x:c>
      <x:c r="F375" s="53" t="str">
        <x:v>复杂模式</x:v>
      </x:c>
      <x:c r="G375" s="53" t="str">
        <x:v>覆盖候选词（需上下文判定）</x:v>
      </x:c>
      <x:c r="H375" s="53" t="str">
        <x:v>确有特殊病种且当前不存在更高急症</x:v>
      </x:c>
      <x:c r="I375" s="53" t="str">
        <x:v>否定词、历史病史不能算当前诊断</x:v>
      </x:c>
      <x:c r="J375" s="53" t="str">
        <x:v>模式优先级须遵守O表</x:v>
      </x:c>
    </x:row>
    <x:row r="376" ht="41" customHeight="1">
      <x:c r="A376" s="53" t="str">
        <x:v>K372</x:v>
      </x:c>
      <x:c r="B376" s="53" t="str">
        <x:v>O21</x:v>
      </x:c>
      <x:c r="C376" s="53" t="str">
        <x:v>跨病种覆盖</x:v>
      </x:c>
      <x:c r="D376" s="53" t="str">
        <x:v>特殊主动脉病变</x:v>
      </x:c>
      <x:c r="E376" s="53" t="str">
        <x:v>IAAD</x:v>
      </x:c>
      <x:c r="F376" s="53" t="str">
        <x:v>复杂模式</x:v>
      </x:c>
      <x:c r="G376" s="53" t="str">
        <x:v>覆盖候选词（需上下文判定）</x:v>
      </x:c>
      <x:c r="H376" s="53" t="str">
        <x:v>确有特殊病种且当前不存在更高急症</x:v>
      </x:c>
      <x:c r="I376" s="53" t="str">
        <x:v>否定词、历史病史不能算当前诊断</x:v>
      </x:c>
      <x:c r="J376" s="53" t="str">
        <x:v>模式优先级须遵守O表</x:v>
      </x:c>
    </x:row>
    <x:row r="377" ht="41" customHeight="1">
      <x:c r="A377" s="53" t="str">
        <x:v>K373</x:v>
      </x:c>
      <x:c r="B377" s="53" t="str">
        <x:v>O21</x:v>
      </x:c>
      <x:c r="C377" s="53" t="str">
        <x:v>跨病种覆盖</x:v>
      </x:c>
      <x:c r="D377" s="53" t="str">
        <x:v>特殊主动脉病变</x:v>
      </x:c>
      <x:c r="E377" s="53" t="str">
        <x:v>假性动脉瘤</x:v>
      </x:c>
      <x:c r="F377" s="53" t="str">
        <x:v>复杂模式</x:v>
      </x:c>
      <x:c r="G377" s="53" t="str">
        <x:v>覆盖候选词（需上下文判定）</x:v>
      </x:c>
      <x:c r="H377" s="53" t="str">
        <x:v>确有特殊病种且当前不存在更高急症</x:v>
      </x:c>
      <x:c r="I377" s="53" t="str">
        <x:v>否定词、历史病史不能算当前诊断</x:v>
      </x:c>
      <x:c r="J377" s="53" t="str">
        <x:v>模式优先级须遵守O表</x:v>
      </x:c>
    </x:row>
    <x:row r="378" ht="41" customHeight="1">
      <x:c r="A378" s="53" t="str">
        <x:v>K374</x:v>
      </x:c>
      <x:c r="B378" s="53" t="str">
        <x:v>O22</x:v>
      </x:c>
      <x:c r="C378" s="53" t="str">
        <x:v>跨病种覆盖</x:v>
      </x:c>
      <x:c r="D378" s="53" t="str">
        <x:v>严重或不明类型术后异常</x:v>
      </x:c>
      <x:c r="E378" s="53" t="str">
        <x:v>I型内漏</x:v>
      </x:c>
      <x:c r="F378" s="53" t="str">
        <x:v>复杂模式</x:v>
      </x:c>
      <x:c r="G378" s="53" t="str">
        <x:v>覆盖候选词（需上下文判定）</x:v>
      </x:c>
      <x:c r="H378" s="53" t="str">
        <x:v>术后异常确诊/高度怀疑</x:v>
      </x:c>
      <x:c r="I378" s="53" t="str">
        <x:v>常规随访无异常或稳定简单II型内漏另判断</x:v>
      </x:c>
      <x:c r="J378" s="53" t="str">
        <x:v>模式优先级须遵守O表</x:v>
      </x:c>
    </x:row>
    <x:row r="379" ht="41" customHeight="1">
      <x:c r="A379" s="53" t="str">
        <x:v>K375</x:v>
      </x:c>
      <x:c r="B379" s="53" t="str">
        <x:v>O22</x:v>
      </x:c>
      <x:c r="C379" s="53" t="str">
        <x:v>跨病种覆盖</x:v>
      </x:c>
      <x:c r="D379" s="53" t="str">
        <x:v>严重或不明类型术后异常</x:v>
      </x:c>
      <x:c r="E379" s="53" t="str">
        <x:v>III型内漏</x:v>
      </x:c>
      <x:c r="F379" s="53" t="str">
        <x:v>复杂模式</x:v>
      </x:c>
      <x:c r="G379" s="53" t="str">
        <x:v>覆盖候选词（需上下文判定）</x:v>
      </x:c>
      <x:c r="H379" s="53" t="str">
        <x:v>术后异常确诊/高度怀疑</x:v>
      </x:c>
      <x:c r="I379" s="53" t="str">
        <x:v>常规随访无异常或稳定简单II型内漏另判断</x:v>
      </x:c>
      <x:c r="J379" s="53" t="str">
        <x:v>模式优先级须遵守O表</x:v>
      </x:c>
    </x:row>
    <x:row r="380" ht="41" customHeight="1">
      <x:c r="A380" s="53" t="str">
        <x:v>K376</x:v>
      </x:c>
      <x:c r="B380" s="53" t="str">
        <x:v>O22</x:v>
      </x:c>
      <x:c r="C380" s="53" t="str">
        <x:v>跨病种覆盖</x:v>
      </x:c>
      <x:c r="D380" s="53" t="str">
        <x:v>严重或不明类型术后异常</x:v>
      </x:c>
      <x:c r="E380" s="53" t="str">
        <x:v>瘤囊增大</x:v>
      </x:c>
      <x:c r="F380" s="53" t="str">
        <x:v>复杂模式</x:v>
      </x:c>
      <x:c r="G380" s="53" t="str">
        <x:v>覆盖候选词（需上下文判定）</x:v>
      </x:c>
      <x:c r="H380" s="53" t="str">
        <x:v>术后异常确诊/高度怀疑</x:v>
      </x:c>
      <x:c r="I380" s="53" t="str">
        <x:v>常规随访无异常或稳定简单II型内漏另判断</x:v>
      </x:c>
      <x:c r="J380" s="53" t="str">
        <x:v>模式优先级须遵守O表</x:v>
      </x:c>
    </x:row>
    <x:row r="381" ht="41" customHeight="1">
      <x:c r="A381" s="53" t="str">
        <x:v>K377</x:v>
      </x:c>
      <x:c r="B381" s="53" t="str">
        <x:v>O22</x:v>
      </x:c>
      <x:c r="C381" s="53" t="str">
        <x:v>跨病种覆盖</x:v>
      </x:c>
      <x:c r="D381" s="53" t="str">
        <x:v>严重或不明类型术后异常</x:v>
      </x:c>
      <x:c r="E381" s="53" t="str">
        <x:v>支架移位</x:v>
      </x:c>
      <x:c r="F381" s="53" t="str">
        <x:v>复杂模式</x:v>
      </x:c>
      <x:c r="G381" s="53" t="str">
        <x:v>覆盖候选词（需上下文判定）</x:v>
      </x:c>
      <x:c r="H381" s="53" t="str">
        <x:v>术后异常确诊/高度怀疑</x:v>
      </x:c>
      <x:c r="I381" s="53" t="str">
        <x:v>常规随访无异常或稳定简单II型内漏另判断</x:v>
      </x:c>
      <x:c r="J381" s="53" t="str">
        <x:v>模式优先级须遵守O表</x:v>
      </x:c>
    </x:row>
    <x:row r="382" ht="41" customHeight="1">
      <x:c r="A382" s="53" t="str">
        <x:v>K378</x:v>
      </x:c>
      <x:c r="B382" s="53" t="str">
        <x:v>O22</x:v>
      </x:c>
      <x:c r="C382" s="53" t="str">
        <x:v>跨病种覆盖</x:v>
      </x:c>
      <x:c r="D382" s="53" t="str">
        <x:v>严重或不明类型术后异常</x:v>
      </x:c>
      <x:c r="E382" s="53" t="str">
        <x:v>吻合口旁动脉瘤</x:v>
      </x:c>
      <x:c r="F382" s="53" t="str">
        <x:v>复杂模式</x:v>
      </x:c>
      <x:c r="G382" s="53" t="str">
        <x:v>覆盖候选词（需上下文判定）</x:v>
      </x:c>
      <x:c r="H382" s="53" t="str">
        <x:v>术后异常确诊/高度怀疑</x:v>
      </x:c>
      <x:c r="I382" s="53" t="str">
        <x:v>常规随访无异常或稳定简单II型内漏另判断</x:v>
      </x:c>
      <x:c r="J382" s="53" t="str">
        <x:v>模式优先级须遵守O表</x:v>
      </x:c>
    </x:row>
    <x:row r="383" ht="41" customHeight="1">
      <x:c r="A383" s="53" t="str">
        <x:v>K379</x:v>
      </x:c>
      <x:c r="B383" s="53" t="str">
        <x:v>O23</x:v>
      </x:c>
      <x:c r="C383" s="53" t="str">
        <x:v>跨病种覆盖</x:v>
      </x:c>
      <x:c r="D383" s="53" t="str">
        <x:v>复杂手术或多次再干预史</x:v>
      </x:c>
      <x:c r="E383" s="53" t="str">
        <x:v>FEVAR</x:v>
      </x:c>
      <x:c r="F383" s="53" t="str">
        <x:v>复杂模式</x:v>
      </x:c>
      <x:c r="G383" s="53" t="str">
        <x:v>覆盖候选词（需上下文判定）</x:v>
      </x:c>
      <x:c r="H383" s="53" t="str">
        <x:v>当前修复规划受复杂操作/既往处理影响</x:v>
      </x:c>
      <x:c r="I383" s="53" t="str">
        <x:v>仅单纯EVAR无异常随访不是默认复杂</x:v>
      </x:c>
      <x:c r="J383" s="53" t="str">
        <x:v>模式优先级须遵守O表</x:v>
      </x:c>
    </x:row>
    <x:row r="384" ht="41" customHeight="1">
      <x:c r="A384" s="53" t="str">
        <x:v>K380</x:v>
      </x:c>
      <x:c r="B384" s="53" t="str">
        <x:v>O23</x:v>
      </x:c>
      <x:c r="C384" s="53" t="str">
        <x:v>跨病种覆盖</x:v>
      </x:c>
      <x:c r="D384" s="53" t="str">
        <x:v>复杂手术或多次再干预史</x:v>
      </x:c>
      <x:c r="E384" s="53" t="str">
        <x:v>BEVAR</x:v>
      </x:c>
      <x:c r="F384" s="53" t="str">
        <x:v>复杂模式</x:v>
      </x:c>
      <x:c r="G384" s="53" t="str">
        <x:v>覆盖候选词（需上下文判定）</x:v>
      </x:c>
      <x:c r="H384" s="53" t="str">
        <x:v>当前修复规划受复杂操作/既往处理影响</x:v>
      </x:c>
      <x:c r="I384" s="53" t="str">
        <x:v>仅单纯EVAR无异常随访不是默认复杂</x:v>
      </x:c>
      <x:c r="J384" s="53" t="str">
        <x:v>模式优先级须遵守O表</x:v>
      </x:c>
    </x:row>
    <x:row r="385" ht="41" customHeight="1">
      <x:c r="A385" s="53" t="str">
        <x:v>K381</x:v>
      </x:c>
      <x:c r="B385" s="53" t="str">
        <x:v>O23</x:v>
      </x:c>
      <x:c r="C385" s="53" t="str">
        <x:v>跨病种覆盖</x:v>
      </x:c>
      <x:c r="D385" s="53" t="str">
        <x:v>复杂手术或多次再干预史</x:v>
      </x:c>
      <x:c r="E385" s="53" t="str">
        <x:v>复杂手术史</x:v>
      </x:c>
      <x:c r="F385" s="53" t="str">
        <x:v>复杂模式</x:v>
      </x:c>
      <x:c r="G385" s="53" t="str">
        <x:v>覆盖候选词（需上下文判定）</x:v>
      </x:c>
      <x:c r="H385" s="53" t="str">
        <x:v>当前修复规划受复杂操作/既往处理影响</x:v>
      </x:c>
      <x:c r="I385" s="53" t="str">
        <x:v>仅单纯EVAR无异常随访不是默认复杂</x:v>
      </x:c>
      <x:c r="J385" s="53" t="str">
        <x:v>模式优先级须遵守O表</x:v>
      </x:c>
    </x:row>
    <x:row r="386" ht="41" customHeight="1">
      <x:c r="A386" s="53" t="str">
        <x:v>K382</x:v>
      </x:c>
      <x:c r="B386" s="53" t="str">
        <x:v>O23</x:v>
      </x:c>
      <x:c r="C386" s="53" t="str">
        <x:v>跨病种覆盖</x:v>
      </x:c>
      <x:c r="D386" s="53" t="str">
        <x:v>复杂手术或多次再干预史</x:v>
      </x:c>
      <x:c r="E386" s="53" t="str">
        <x:v>redo aortic repair</x:v>
      </x:c>
      <x:c r="F386" s="53" t="str">
        <x:v>复杂模式</x:v>
      </x:c>
      <x:c r="G386" s="53" t="str">
        <x:v>覆盖候选词（需上下文判定）</x:v>
      </x:c>
      <x:c r="H386" s="53" t="str">
        <x:v>当前修复规划受复杂操作/既往处理影响</x:v>
      </x:c>
      <x:c r="I386" s="53" t="str">
        <x:v>仅单纯EVAR无异常随访不是默认复杂</x:v>
      </x:c>
      <x:c r="J386" s="53" t="str">
        <x:v>模式优先级须遵守O表</x:v>
      </x:c>
    </x:row>
    <x:row r="387" ht="41" customHeight="1">
      <x:c r="A387" s="53" t="str">
        <x:v>K383</x:v>
      </x:c>
      <x:c r="B387" s="53" t="str">
        <x:v>O23</x:v>
      </x:c>
      <x:c r="C387" s="53" t="str">
        <x:v>跨病种覆盖</x:v>
      </x:c>
      <x:c r="D387" s="53" t="str">
        <x:v>复杂手术或多次再干预史</x:v>
      </x:c>
      <x:c r="E387" s="53" t="str">
        <x:v>反复再干预</x:v>
      </x:c>
      <x:c r="F387" s="53" t="str">
        <x:v>复杂模式</x:v>
      </x:c>
      <x:c r="G387" s="53" t="str">
        <x:v>覆盖候选词（需上下文判定）</x:v>
      </x:c>
      <x:c r="H387" s="53" t="str">
        <x:v>当前修复规划受复杂操作/既往处理影响</x:v>
      </x:c>
      <x:c r="I387" s="53" t="str">
        <x:v>仅单纯EVAR无异常随访不是默认复杂</x:v>
      </x:c>
      <x:c r="J387" s="53" t="str">
        <x:v>模式优先级须遵守O表</x:v>
      </x:c>
    </x:row>
    <x:row r="388" ht="41" customHeight="1">
      <x:c r="A388" s="53" t="str">
        <x:v>K384</x:v>
      </x:c>
      <x:c r="B388" s="53" t="str">
        <x:v>O24</x:v>
      </x:c>
      <x:c r="C388" s="53" t="str">
        <x:v>跨病种覆盖</x:v>
      </x:c>
      <x:c r="D388" s="53" t="str">
        <x:v>指南＋影像证据冲突</x:v>
      </x:c>
      <x:c r="E388" s="53" t="str">
        <x:v>指南与影像矛盾</x:v>
      </x:c>
      <x:c r="F388" s="53" t="str">
        <x:v>复杂模式</x:v>
      </x:c>
      <x:c r="G388" s="53" t="str">
        <x:v>覆盖候选词（需上下文判定）</x:v>
      </x:c>
      <x:c r="H388" s="53" t="str">
        <x:v>输入中不同关键证据不一致并影响治疗决策</x:v>
      </x:c>
      <x:c r="I388" s="53" t="str">
        <x:v>仅措辞不同不影响临床判断</x:v>
      </x:c>
      <x:c r="J388" s="53" t="str">
        <x:v>模式优先级须遵守O表</x:v>
      </x:c>
    </x:row>
    <x:row r="389" ht="41" customHeight="1">
      <x:c r="A389" s="53" t="str">
        <x:v>K385</x:v>
      </x:c>
      <x:c r="B389" s="53" t="str">
        <x:v>O24</x:v>
      </x:c>
      <x:c r="C389" s="53" t="str">
        <x:v>跨病种覆盖</x:v>
      </x:c>
      <x:c r="D389" s="53" t="str">
        <x:v>指南＋影像证据冲突</x:v>
      </x:c>
      <x:c r="E389" s="53" t="str">
        <x:v>imaging guideline conflict</x:v>
      </x:c>
      <x:c r="F389" s="53" t="str">
        <x:v>复杂模式</x:v>
      </x:c>
      <x:c r="G389" s="53" t="str">
        <x:v>覆盖候选词（需上下文判定）</x:v>
      </x:c>
      <x:c r="H389" s="53" t="str">
        <x:v>输入中不同关键证据不一致并影响治疗决策</x:v>
      </x:c>
      <x:c r="I389" s="53" t="str">
        <x:v>仅措辞不同不影响临床判断</x:v>
      </x:c>
      <x:c r="J389" s="53" t="str">
        <x:v>模式优先级须遵守O表</x:v>
      </x:c>
    </x:row>
    <x:row r="390" ht="41" customHeight="1">
      <x:c r="A390" s="53" t="str">
        <x:v>K386</x:v>
      </x:c>
      <x:c r="B390" s="53" t="str">
        <x:v>O24</x:v>
      </x:c>
      <x:c r="C390" s="53" t="str">
        <x:v>跨病种覆盖</x:v>
      </x:c>
      <x:c r="D390" s="53" t="str">
        <x:v>指南＋影像证据冲突</x:v>
      </x:c>
      <x:c r="E390" s="53" t="str">
        <x:v>证据冲突</x:v>
      </x:c>
      <x:c r="F390" s="53" t="str">
        <x:v>复杂模式</x:v>
      </x:c>
      <x:c r="G390" s="53" t="str">
        <x:v>覆盖候选词（需上下文判定）</x:v>
      </x:c>
      <x:c r="H390" s="53" t="str">
        <x:v>输入中不同关键证据不一致并影响治疗决策</x:v>
      </x:c>
      <x:c r="I390" s="53" t="str">
        <x:v>仅措辞不同不影响临床判断</x:v>
      </x:c>
      <x:c r="J390" s="53" t="str">
        <x:v>模式优先级须遵守O表</x:v>
      </x:c>
    </x:row>
    <x:row r="391" ht="41" customHeight="1">
      <x:c r="A391" s="53" t="str">
        <x:v>K387</x:v>
      </x:c>
      <x:c r="B391" s="53" t="str">
        <x:v>O25</x:v>
      </x:c>
      <x:c r="C391" s="53" t="str">
        <x:v>跨病种覆盖</x:v>
      </x:c>
      <x:c r="D391" s="53" t="str">
        <x:v>难以确定病种或关键字段缺失</x:v>
      </x:c>
      <x:c r="E391" s="53" t="str">
        <x:v>未分型</x:v>
      </x:c>
      <x:c r="F391" s="53" t="str">
        <x:v>复杂模式</x:v>
      </x:c>
      <x:c r="G391" s="53" t="str">
        <x:v>覆盖候选词（需上下文判定）</x:v>
      </x:c>
      <x:c r="H391" s="53" t="str">
        <x:v>无法可靠判断病种/治疗史/破裂状态/主要直径/核心解剖</x:v>
      </x:c>
      <x:c r="I391" s="53" t="str">
        <x:v>如存在任何急症提示先进入急诊</x:v>
      </x:c>
      <x:c r="J391" s="53" t="str">
        <x:v>模式优先级须遵守O表</x:v>
      </x:c>
    </x:row>
    <x:row r="392" ht="41" customHeight="1">
      <x:c r="A392" s="53" t="str">
        <x:v>K388</x:v>
      </x:c>
      <x:c r="B392" s="53" t="str">
        <x:v>O25</x:v>
      </x:c>
      <x:c r="C392" s="53" t="str">
        <x:v>跨病种覆盖</x:v>
      </x:c>
      <x:c r="D392" s="53" t="str">
        <x:v>难以确定病种或关键字段缺失</x:v>
      </x:c>
      <x:c r="E392" s="53" t="str">
        <x:v>关键数据缺失</x:v>
      </x:c>
      <x:c r="F392" s="53" t="str">
        <x:v>复杂模式</x:v>
      </x:c>
      <x:c r="G392" s="53" t="str">
        <x:v>覆盖候选词（需上下文判定）</x:v>
      </x:c>
      <x:c r="H392" s="53" t="str">
        <x:v>无法可靠判断病种/治疗史/破裂状态/主要直径/核心解剖</x:v>
      </x:c>
      <x:c r="I392" s="53" t="str">
        <x:v>如存在任何急症提示先进入急诊</x:v>
      </x:c>
      <x:c r="J392" s="53" t="str">
        <x:v>模式优先级须遵守O表</x:v>
      </x:c>
    </x:row>
    <x:row r="393" ht="41" customHeight="1">
      <x:c r="A393" s="53" t="str">
        <x:v>K389</x:v>
      </x:c>
      <x:c r="B393" s="53" t="str">
        <x:v>O25</x:v>
      </x:c>
      <x:c r="C393" s="53" t="str">
        <x:v>跨病种覆盖</x:v>
      </x:c>
      <x:c r="D393" s="53" t="str">
        <x:v>难以确定病种或关键字段缺失</x:v>
      </x:c>
      <x:c r="E393" s="53" t="str">
        <x:v>unclassified aortic lesion</x:v>
      </x:c>
      <x:c r="F393" s="53" t="str">
        <x:v>复杂模式</x:v>
      </x:c>
      <x:c r="G393" s="53" t="str">
        <x:v>覆盖候选词（需上下文判定）</x:v>
      </x:c>
      <x:c r="H393" s="53" t="str">
        <x:v>无法可靠判断病种/治疗史/破裂状态/主要直径/核心解剖</x:v>
      </x:c>
      <x:c r="I393" s="53" t="str">
        <x:v>如存在任何急症提示先进入急诊</x:v>
      </x:c>
      <x:c r="J393" s="53" t="str">
        <x:v>模式优先级须遵守O表</x:v>
      </x:c>
    </x:row>
    <x:row r="394" ht="41" customHeight="1">
      <x:c r="A394" s="53" t="str">
        <x:v>K390</x:v>
      </x:c>
      <x:c r="B394" s="53" t="str">
        <x:v>O26</x:v>
      </x:c>
      <x:c r="C394" s="53" t="str">
        <x:v>跨病种覆盖</x:v>
      </x:c>
      <x:c r="D394" s="53" t="str">
        <x:v>仅低复杂度病例可进入</x:v>
      </x:c>
      <x:c r="E394" s="53" t="str">
        <x:v>颈长≥15mm</x:v>
      </x:c>
      <x:c r="F394" s="53" t="str">
        <x:v>指南模式</x:v>
      </x:c>
      <x:c r="G394" s="53" t="str">
        <x:v>覆盖候选词（需上下文判定）</x:v>
      </x:c>
      <x:c r="H394" s="53" t="str">
        <x:v>先排除急诊/复杂覆盖；病种是常规路径；所需数据已齐全</x:v>
      </x:c>
      <x:c r="I394" s="53" t="str">
        <x:v>未知关键量化字段或尚未排除感染/破裂</x:v>
      </x:c>
      <x:c r="J394" s="53" t="str">
        <x:v>模式优先级须遵守O表</x:v>
      </x:c>
    </x:row>
    <x:row r="395" ht="41" customHeight="1">
      <x:c r="A395" s="53" t="str">
        <x:v>K391</x:v>
      </x:c>
      <x:c r="B395" s="53" t="str">
        <x:v>O26</x:v>
      </x:c>
      <x:c r="C395" s="53" t="str">
        <x:v>跨病种覆盖</x:v>
      </x:c>
      <x:c r="D395" s="53" t="str">
        <x:v>仅低复杂度病例可进入</x:v>
      </x:c>
      <x:c r="E395" s="53" t="str">
        <x:v>颈角≤45°</x:v>
      </x:c>
      <x:c r="F395" s="53" t="str">
        <x:v>指南模式</x:v>
      </x:c>
      <x:c r="G395" s="53" t="str">
        <x:v>覆盖候选词（需上下文判定）</x:v>
      </x:c>
      <x:c r="H395" s="53" t="str">
        <x:v>先排除急诊/复杂覆盖；病种是常规路径；所需数据已齐全</x:v>
      </x:c>
      <x:c r="I395" s="53" t="str">
        <x:v>未知关键量化字段或尚未排除感染/破裂</x:v>
      </x:c>
      <x:c r="J395" s="53" t="str">
        <x:v>模式优先级须遵守O表</x:v>
      </x:c>
    </x:row>
    <x:row r="396" ht="41" customHeight="1">
      <x:c r="A396" s="53" t="str">
        <x:v>K392</x:v>
      </x:c>
      <x:c r="B396" s="53" t="str">
        <x:v>O26</x:v>
      </x:c>
      <x:c r="C396" s="53" t="str">
        <x:v>跨病种覆盖</x:v>
      </x:c>
      <x:c r="D396" s="53" t="str">
        <x:v>仅低复杂度病例可进入</x:v>
      </x:c>
      <x:c r="E396" s="53" t="str">
        <x:v>入路≥7mm</x:v>
      </x:c>
      <x:c r="F396" s="53" t="str">
        <x:v>指南模式</x:v>
      </x:c>
      <x:c r="G396" s="53" t="str">
        <x:v>覆盖候选词（需上下文判定）</x:v>
      </x:c>
      <x:c r="H396" s="53" t="str">
        <x:v>先排除急诊/复杂覆盖；病种是常规路径；所需数据已齐全</x:v>
      </x:c>
      <x:c r="I396" s="53" t="str">
        <x:v>未知关键量化字段或尚未排除感染/破裂</x:v>
      </x:c>
      <x:c r="J396" s="53" t="str">
        <x:v>模式优先级须遵守O表</x:v>
      </x:c>
    </x:row>
    <x:row r="397" ht="41" customHeight="1">
      <x:c r="A397" s="53" t="str">
        <x:v>K393</x:v>
      </x:c>
      <x:c r="B397" s="53" t="str">
        <x:v>O26</x:v>
      </x:c>
      <x:c r="C397" s="53" t="str">
        <x:v>跨病种覆盖</x:v>
      </x:c>
      <x:c r="D397" s="53" t="str">
        <x:v>仅低复杂度病例可进入</x:v>
      </x:c>
      <x:c r="E397" s="53" t="str">
        <x:v>无严重合并症</x:v>
      </x:c>
      <x:c r="F397" s="53" t="str">
        <x:v>指南模式</x:v>
      </x:c>
      <x:c r="G397" s="53" t="str">
        <x:v>覆盖候选词（需上下文判定）</x:v>
      </x:c>
      <x:c r="H397" s="53" t="str">
        <x:v>先排除急诊/复杂覆盖；病种是常规路径；所需数据已齐全</x:v>
      </x:c>
      <x:c r="I397" s="53" t="str">
        <x:v>未知关键量化字段或尚未排除感染/破裂</x:v>
      </x:c>
      <x:c r="J397" s="53" t="str">
        <x:v>模式优先级须遵守O表</x:v>
      </x:c>
    </x:row>
    <x:row r="398" ht="41" customHeight="1">
      <x:c r="A398" s="53" t="str">
        <x:v>K394</x:v>
      </x:c>
      <x:c r="B398" s="53" t="str">
        <x:v>O27</x:v>
      </x:c>
      <x:c r="C398" s="53" t="str">
        <x:v>跨病种覆盖</x:v>
      </x:c>
      <x:c r="D398" s="53" t="str">
        <x:v>简单稳定术后随访专用例外</x:v>
      </x:c>
      <x:c r="E398" s="53" t="str">
        <x:v>uncomplicated EVAR</x:v>
      </x:c>
      <x:c r="F398" s="53" t="str">
        <x:v>指南模式</x:v>
      </x:c>
      <x:c r="G398" s="53" t="str">
        <x:v>覆盖候选词（需上下文判定）</x:v>
      </x:c>
      <x:c r="H398" s="53" t="str">
        <x:v>术后常规或稳定II型内漏＋无升级因素</x:v>
      </x:c>
      <x:c r="I398" s="53" t="str">
        <x:v>术前瘤颈数值不适用术后随访入门条件</x:v>
      </x:c>
      <x:c r="J398" s="53" t="str">
        <x:v>模式优先级须遵守O表</x:v>
      </x:c>
    </x:row>
    <x:row r="399" ht="41" customHeight="1">
      <x:c r="A399" s="53" t="str">
        <x:v>K395</x:v>
      </x:c>
      <x:c r="B399" s="53" t="str">
        <x:v>O27</x:v>
      </x:c>
      <x:c r="C399" s="53" t="str">
        <x:v>跨病种覆盖</x:v>
      </x:c>
      <x:c r="D399" s="53" t="str">
        <x:v>简单稳定术后随访专用例外</x:v>
      </x:c>
      <x:c r="E399" s="53" t="str">
        <x:v>stable Type II endoleak</x:v>
      </x:c>
      <x:c r="F399" s="53" t="str">
        <x:v>指南模式</x:v>
      </x:c>
      <x:c r="G399" s="53" t="str">
        <x:v>覆盖候选词（需上下文判定）</x:v>
      </x:c>
      <x:c r="H399" s="53" t="str">
        <x:v>术后常规或稳定II型内漏＋无升级因素</x:v>
      </x:c>
      <x:c r="I399" s="53" t="str">
        <x:v>术前瘤颈数值不适用术后随访入门条件</x:v>
      </x:c>
      <x:c r="J399" s="53" t="str">
        <x:v>模式优先级须遵守O表</x:v>
      </x:c>
    </x:row>
    <x:row r="400" ht="41" customHeight="1">
      <x:c r="A400" s="53" t="str">
        <x:v>K396</x:v>
      </x:c>
      <x:c r="B400" s="53" t="str">
        <x:v>O27</x:v>
      </x:c>
      <x:c r="C400" s="53" t="str">
        <x:v>跨病种覆盖</x:v>
      </x:c>
      <x:c r="D400" s="53" t="str">
        <x:v>简单稳定术后随访专用例外</x:v>
      </x:c>
      <x:c r="E400" s="53" t="str">
        <x:v>OSR followup stable</x:v>
      </x:c>
      <x:c r="F400" s="53" t="str">
        <x:v>指南模式</x:v>
      </x:c>
      <x:c r="G400" s="53" t="str">
        <x:v>覆盖候选词（需上下文判定）</x:v>
      </x:c>
      <x:c r="H400" s="53" t="str">
        <x:v>术后常规或稳定II型内漏＋无升级因素</x:v>
      </x:c>
      <x:c r="I400" s="53" t="str">
        <x:v>术前瘤颈数值不适用术后随访入门条件</x:v>
      </x:c>
      <x:c r="J400" s="53" t="str">
        <x:v>模式优先级须遵守O表</x:v>
      </x:c>
    </x:row>
    <x:row r="401" ht="41" customHeight="1">
      <x:c r="A401" s="53" t="str">
        <x:v>K397</x:v>
      </x:c>
      <x:c r="B401" s="53" t="str">
        <x:v>O28</x:v>
      </x:c>
      <x:c r="C401" s="53" t="str">
        <x:v>跨病种覆盖</x:v>
      </x:c>
      <x:c r="D401" s="53" t="str">
        <x:v>否定/历史/疑似语义处理</x:v>
      </x:c>
      <x:c r="E401" s="53" t="str">
        <x:v>无破裂</x:v>
      </x:c>
      <x:c r="F401" s="53" t="str">
        <x:v>全部模式</x:v>
      </x:c>
      <x:c r="G401" s="53" t="str">
        <x:v>覆盖候选词（需上下文判定）</x:v>
      </x:c>
      <x:c r="H401" s="53" t="str">
        <x:v>先做事件时态、肯定/否定、疑似和疾病归因区分</x:v>
      </x:c>
      <x:c r="I401" s="53" t="str">
        <x:v>不能用纯substring字符串作为最终决策</x:v>
      </x:c>
      <x:c r="J401" s="53" t="str">
        <x:v>模式优先级须遵守O表</x:v>
      </x:c>
    </x:row>
    <x:row r="402" ht="41" customHeight="1">
      <x:c r="A402" s="53" t="str">
        <x:v>K398</x:v>
      </x:c>
      <x:c r="B402" s="53" t="str">
        <x:v>O28</x:v>
      </x:c>
      <x:c r="C402" s="53" t="str">
        <x:v>跨病种覆盖</x:v>
      </x:c>
      <x:c r="D402" s="53" t="str">
        <x:v>否定/历史/疑似语义处理</x:v>
      </x:c>
      <x:c r="E402" s="53" t="str">
        <x:v>排除感染</x:v>
      </x:c>
      <x:c r="F402" s="53" t="str">
        <x:v>全部模式</x:v>
      </x:c>
      <x:c r="G402" s="53" t="str">
        <x:v>覆盖候选词（需上下文判定）</x:v>
      </x:c>
      <x:c r="H402" s="53" t="str">
        <x:v>先做事件时态、肯定/否定、疑似和疾病归因区分</x:v>
      </x:c>
      <x:c r="I402" s="53" t="str">
        <x:v>不能用纯substring字符串作为最终决策</x:v>
      </x:c>
      <x:c r="J402" s="53" t="str">
        <x:v>模式优先级须遵守O表</x:v>
      </x:c>
    </x:row>
    <x:row r="403" ht="41" customHeight="1">
      <x:c r="A403" s="53" t="str">
        <x:v>K399</x:v>
      </x:c>
      <x:c r="B403" s="53" t="str">
        <x:v>O28</x:v>
      </x:c>
      <x:c r="C403" s="53" t="str">
        <x:v>跨病种覆盖</x:v>
      </x:c>
      <x:c r="D403" s="53" t="str">
        <x:v>否定/历史/疑似语义处理</x:v>
      </x:c>
      <x:c r="E403" s="53" t="str">
        <x:v>既往内漏</x:v>
      </x:c>
      <x:c r="F403" s="53" t="str">
        <x:v>全部模式</x:v>
      </x:c>
      <x:c r="G403" s="53" t="str">
        <x:v>覆盖候选词（需上下文判定）</x:v>
      </x:c>
      <x:c r="H403" s="53" t="str">
        <x:v>先做事件时态、肯定/否定、疑似和疾病归因区分</x:v>
      </x:c>
      <x:c r="I403" s="53" t="str">
        <x:v>不能用纯substring字符串作为最终决策</x:v>
      </x:c>
      <x:c r="J403" s="53" t="str">
        <x:v>模式优先级须遵守O表</x:v>
      </x:c>
    </x:row>
    <x:row r="404" ht="41" customHeight="1">
      <x:c r="A404" s="53" t="str">
        <x:v>K400</x:v>
      </x:c>
      <x:c r="B404" s="53" t="str">
        <x:v>O28</x:v>
      </x:c>
      <x:c r="C404" s="53" t="str">
        <x:v>跨病种覆盖</x:v>
      </x:c>
      <x:c r="D404" s="53" t="str">
        <x:v>否定/历史/疑似语义处理</x:v>
      </x:c>
      <x:c r="E404" s="53" t="str">
        <x:v>未见内漏</x:v>
      </x:c>
      <x:c r="F404" s="53" t="str">
        <x:v>全部模式</x:v>
      </x:c>
      <x:c r="G404" s="53" t="str">
        <x:v>覆盖候选词（需上下文判定）</x:v>
      </x:c>
      <x:c r="H404" s="53" t="str">
        <x:v>先做事件时态、肯定/否定、疑似和疾病归因区分</x:v>
      </x:c>
      <x:c r="I404" s="53" t="str">
        <x:v>不能用纯substring字符串作为最终决策</x:v>
      </x:c>
      <x:c r="J404" s="53" t="str">
        <x:v>模式优先级须遵守O表</x:v>
      </x:c>
    </x:row>
    <x:row r="405" ht="41" customHeight="1">
      <x:c r="A405" s="53" t="str">
        <x:v>K401</x:v>
      </x:c>
      <x:c r="B405" s="53" t="str">
        <x:v>O28</x:v>
      </x:c>
      <x:c r="C405" s="53" t="str">
        <x:v>跨病种覆盖</x:v>
      </x:c>
      <x:c r="D405" s="53" t="str">
        <x:v>否定/历史/疑似语义处理</x:v>
      </x:c>
      <x:c r="E405" s="53" t="str">
        <x:v>疑似破裂</x:v>
      </x:c>
      <x:c r="F405" s="53" t="str">
        <x:v>全部模式</x:v>
      </x:c>
      <x:c r="G405" s="53" t="str">
        <x:v>覆盖候选词（需上下文判定）</x:v>
      </x:c>
      <x:c r="H405" s="53" t="str">
        <x:v>先做事件时态、肯定/否定、疑似和疾病归因区分</x:v>
      </x:c>
      <x:c r="I405" s="53" t="str">
        <x:v>不能用纯substring字符串作为最终决策</x:v>
      </x:c>
      <x:c r="J405" s="53" t="str">
        <x:v>模式优先级须遵守O表</x:v>
      </x:c>
    </x:row>
    <x:row r="406" ht="41" customHeight="1">
      <x:c r="A406" s="53" t="str">
        <x:v>K402</x:v>
      </x:c>
      <x:c r="B406" s="53" t="str">
        <x:v>O29</x:v>
      </x:c>
      <x:c r="C406" s="53" t="str">
        <x:v>跨病种覆盖</x:v>
      </x:c>
      <x:c r="D406" s="53" t="str">
        <x:v>多标签单模式</x:v>
      </x:c>
      <x:c r="E406" s="53" t="str">
        <x:v>术后+破裂</x:v>
      </x:c>
      <x:c r="F406" s="53" t="str">
        <x:v>全部模式</x:v>
      </x:c>
      <x:c r="G406" s="53" t="str">
        <x:v>覆盖候选词（需上下文判定）</x:v>
      </x:c>
      <x:c r="H406" s="53" t="str">
        <x:v>保留所有病种/病因/解剖/术后标签</x:v>
      </x:c>
      <x:c r="I406" s="53" t="str">
        <x:v>不能输出多个相互冲突的主模式</x:v>
      </x:c>
      <x:c r="J406" s="53" t="str">
        <x:v>模式优先级须遵守O表</x:v>
      </x:c>
    </x:row>
    <x:row r="407" ht="41" customHeight="1">
      <x:c r="A407" s="53" t="str">
        <x:v>K403</x:v>
      </x:c>
      <x:c r="B407" s="53" t="str">
        <x:v>O29</x:v>
      </x:c>
      <x:c r="C407" s="53" t="str">
        <x:v>跨病种覆盖</x:v>
      </x:c>
      <x:c r="D407" s="53" t="str">
        <x:v>多标签单模式</x:v>
      </x:c>
      <x:c r="E407" s="53" t="str">
        <x:v>感染+破裂</x:v>
      </x:c>
      <x:c r="F407" s="53" t="str">
        <x:v>全部模式</x:v>
      </x:c>
      <x:c r="G407" s="53" t="str">
        <x:v>覆盖候选词（需上下文判定）</x:v>
      </x:c>
      <x:c r="H407" s="53" t="str">
        <x:v>保留所有病种/病因/解剖/术后标签</x:v>
      </x:c>
      <x:c r="I407" s="53" t="str">
        <x:v>不能输出多个相互冲突的主模式</x:v>
      </x:c>
      <x:c r="J407" s="53" t="str">
        <x:v>模式优先级须遵守O表</x:v>
      </x:c>
    </x:row>
    <x:row r="408" ht="41" customHeight="1">
      <x:c r="A408" s="53" t="str">
        <x:v>K404</x:v>
      </x:c>
      <x:c r="B408" s="53" t="str">
        <x:v>O29</x:v>
      </x:c>
      <x:c r="C408" s="53" t="str">
        <x:v>跨病种覆盖</x:v>
      </x:c>
      <x:c r="D408" s="53" t="str">
        <x:v>多标签单模式</x:v>
      </x:c>
      <x:c r="E408" s="53" t="str">
        <x:v>AAA+髂动脉瘤</x:v>
      </x:c>
      <x:c r="F408" s="53" t="str">
        <x:v>全部模式</x:v>
      </x:c>
      <x:c r="G408" s="53" t="str">
        <x:v>覆盖候选词（需上下文判定）</x:v>
      </x:c>
      <x:c r="H408" s="53" t="str">
        <x:v>保留所有病种/病因/解剖/术后标签</x:v>
      </x:c>
      <x:c r="I408" s="53" t="str">
        <x:v>不能输出多个相互冲突的主模式</x:v>
      </x:c>
      <x:c r="J408" s="53" t="str">
        <x:v>模式优先级须遵守O表</x:v>
      </x:c>
    </x:row>
    <x:row r="409" ht="41" customHeight="1">
      <x:c r="A409" s="53" t="str">
        <x:v>K405</x:v>
      </x:c>
      <x:c r="B409" s="53" t="str">
        <x:v>O29</x:v>
      </x:c>
      <x:c r="C409" s="53" t="str">
        <x:v>跨病种覆盖</x:v>
      </x:c>
      <x:c r="D409" s="53" t="str">
        <x:v>多标签单模式</x:v>
      </x:c>
      <x:c r="E409" s="53" t="str">
        <x:v>复杂AAA+症状</x:v>
      </x:c>
      <x:c r="F409" s="53" t="str">
        <x:v>全部模式</x:v>
      </x:c>
      <x:c r="G409" s="53" t="str">
        <x:v>覆盖候选词（需上下文判定）</x:v>
      </x:c>
      <x:c r="H409" s="53" t="str">
        <x:v>保留所有病种/病因/解剖/术后标签</x:v>
      </x:c>
      <x:c r="I409" s="53" t="str">
        <x:v>不能输出多个相互冲突的主模式</x:v>
      </x:c>
      <x:c r="J409" s="53" t="str">
        <x:v>模式优先级须遵守O表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24ce5bcf6ec419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6" hidden="0" customWidth="1"/>
    <x:col min="4" max="4" width="43" hidden="0" customWidth="1"/>
    <x:col min="5" max="5" width="47" hidden="0" customWidth="1"/>
    <x:col min="6" max="6" width="36" hidden="0" customWidth="1"/>
    <x:col min="7" max="7" width="46" hidden="0" customWidth="1"/>
    <x:col min="8" max="8" width="38" hidden="0" customWidth="1"/>
    <x:col min="9" max="9" width="18" hidden="0" customWidth="1"/>
  </x:cols>
  <x:sheetData>
    <x:row r="1" ht="36" customHeight="1">
      <x:c r="A1" s="4" t="str">
        <x:v>04｜全局覆盖规则：急诊 &gt; 复杂 &gt; 指南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覆盖规则先于病种默认路由；工程实现必须支持否定/时态/归因及信息缺失</x:v>
      </x:c>
      <x:c r="B2" s="10"/>
      <x:c r="C2" s="10"/>
      <x:c r="D2" s="10"/>
      <x:c r="E2" s="10"/>
      <x:c r="F2" s="10"/>
      <x:c r="G2" s="10"/>
      <x:c r="H2" s="10"/>
      <x:c r="I2" s="10"/>
    </x:row>
    <x:row r="4" ht="33" customHeight="1">
      <x:c r="A4" s="17" t="str">
        <x:v>覆盖ID</x:v>
      </x:c>
      <x:c r="B4" s="17" t="str">
        <x:v>覆盖模式</x:v>
      </x:c>
      <x:c r="C4" s="17" t="str">
        <x:v>触发器/风险项</x:v>
      </x:c>
      <x:c r="D4" s="17" t="str">
        <x:v>候选关键词/术语</x:v>
      </x:c>
      <x:c r="E4" s="17" t="str">
        <x:v>附加条件AND</x:v>
      </x:c>
      <x:c r="F4" s="17" t="str">
        <x:v>NOT排除项</x:v>
      </x:c>
      <x:c r="G4" s="17" t="str">
        <x:v>匹配/路由说明</x:v>
      </x:c>
      <x:c r="H4" s="17" t="str">
        <x:v>依据来源</x:v>
      </x:c>
      <x:c r="I4" s="17" t="str">
        <x:v>工程规则优先级</x:v>
      </x:c>
    </x:row>
    <x:row r="5" ht="51" customHeight="1">
      <x:c r="A5" s="53" t="str">
        <x:v>O01</x:v>
      </x:c>
      <x:c r="B5" s="53" t="str">
        <x:v>急诊模式</x:v>
      </x:c>
      <x:c r="C5" s="53" t="str">
        <x:v>urgency_flag主动标志</x:v>
      </x:c>
      <x:c r="D5" s="53" t="str">
        <x:v>urgency_flag=True|明确急诊标志|临床指定急症</x:v>
      </x:c>
      <x:c r="E5" s="53" t="str">
        <x:v>临床授权字段=真</x:v>
      </x:c>
      <x:c r="F5" s="53" t="str">
        <x:v>若字段为未知不得当真</x:v>
      </x:c>
      <x:c r="G5" s="53" t="str">
        <x:v>高优先级硬覆盖；先核实来源</x:v>
      </x:c>
      <x:c r="H5" s="53" t="str">
        <x:v>原系统截图（工程规则）</x:v>
      </x:c>
      <x:c r="I5" s="53" t="n">
        <x:v>1</x:v>
      </x:c>
    </x:row>
    <x:row r="6" ht="51" customHeight="1">
      <x:c r="A6" s="53" t="str">
        <x:v>O02</x:v>
      </x:c>
      <x:c r="B6" s="53" t="str">
        <x:v>急诊模式</x:v>
      </x:c>
      <x:c r="C6" s="53" t="str">
        <x:v>已确认/疑似AAA破裂</x:v>
      </x:c>
      <x:c r="D6" s="53" t="str">
        <x:v>破裂|疑似破裂|rupture|rAAA</x:v>
      </x:c>
      <x:c r="E6" s="53" t="str">
        <x:v>在主动脉/髂瘤相关当前诊断中为肯定或高度疑似</x:v>
      </x:c>
      <x:c r="F6" s="53" t="str">
        <x:v>‘未破裂/排除破裂/既往破裂’</x:v>
      </x:c>
      <x:c r="G6" s="53" t="str">
        <x:v>不等待后续复杂性判断</x:v>
      </x:c>
      <x:c r="H6" s="53" t="str">
        <x:v>ESVS 2024 §6</x:v>
      </x:c>
      <x:c r="I6" s="53" t="n">
        <x:v>1</x:v>
      </x:c>
    </x:row>
    <x:row r="7" ht="51" customHeight="1">
      <x:c r="A7" s="53" t="str">
        <x:v>O03</x:v>
      </x:c>
      <x:c r="B7" s="53" t="str">
        <x:v>急诊模式</x:v>
      </x:c>
      <x:c r="C7" s="53" t="str">
        <x:v>症状性AAA或髂动脉瘤</x:v>
      </x:c>
      <x:c r="D7" s="53" t="str">
        <x:v>symptomatic AAA|动脉瘤相关急性疼痛|症状性动脉瘤</x:v>
      </x:c>
      <x:c r="E7" s="53" t="str">
        <x:v>医生判断当前症状可能由主动脉瘤相关</x:v>
      </x:c>
      <x:c r="F7" s="53" t="str">
        <x:v>仅病史或否定式；明确其他病因</x:v>
      </x:c>
      <x:c r="G7" s="53" t="str">
        <x:v>符合原图直接急诊评估</x:v>
      </x:c>
      <x:c r="H7" s="53" t="str">
        <x:v>ESVS §6.5 + 原图</x:v>
      </x:c>
      <x:c r="I7" s="53" t="n">
        <x:v>1</x:v>
      </x:c>
    </x:row>
    <x:row r="8" ht="51" customHeight="1">
      <x:c r="A8" s="53" t="str">
        <x:v>O04</x:v>
      </x:c>
      <x:c r="B8" s="53" t="str">
        <x:v>急诊模式</x:v>
      </x:c>
      <x:c r="C8" s="53" t="str">
        <x:v>AAA相关循环不稳</x:v>
      </x:c>
      <x:c r="D8" s="53" t="str">
        <x:v>低血压|休克|血流动力学不稳|晕厥</x:v>
      </x:c>
      <x:c r="E8" s="53" t="str">
        <x:v>AAA/主动脉病变当前存在＋怀疑急性主动脉并发症</x:v>
      </x:c>
      <x:c r="F8" s="53" t="str">
        <x:v>已有更确切的非主动脉原因且排除主动脉急症</x:v>
      </x:c>
      <x:c r="G8" s="53" t="str">
        <x:v>必须先排除破裂、出血</x:v>
      </x:c>
      <x:c r="H8" s="53" t="str">
        <x:v>ESVS §6.1–6.2</x:v>
      </x:c>
      <x:c r="I8" s="53" t="n">
        <x:v>1</x:v>
      </x:c>
    </x:row>
    <x:row r="9" ht="51" customHeight="1">
      <x:c r="A9" s="53" t="str">
        <x:v>O05</x:v>
      </x:c>
      <x:c r="B9" s="53" t="str">
        <x:v>急诊模式</x:v>
      </x:c>
      <x:c r="C9" s="53" t="str">
        <x:v>主动脉活动性出血</x:v>
      </x:c>
      <x:c r="D9" s="53" t="str">
        <x:v>活动性外渗|造影剂外渗|大出血|retroperitoneal hemorrhage</x:v>
      </x:c>
      <x:c r="E9" s="53" t="str">
        <x:v>报告/临床确认来自主动脉或修复移植物</x:v>
      </x:c>
      <x:c r="F9" s="53" t="str">
        <x:v>非主动脉来源或历史记录</x:v>
      </x:c>
      <x:c r="G9" s="53" t="str">
        <x:v>出血危及生命</x:v>
      </x:c>
      <x:c r="H9" s="53" t="str">
        <x:v>ESVS §6–7</x:v>
      </x:c>
      <x:c r="I9" s="53" t="n">
        <x:v>1</x:v>
      </x:c>
    </x:row>
    <x:row r="10" ht="51" customHeight="1">
      <x:c r="A10" s="53" t="str">
        <x:v>O06</x:v>
      </x:c>
      <x:c r="B10" s="53" t="str">
        <x:v>急诊模式</x:v>
      </x:c>
      <x:c r="C10" s="53" t="str">
        <x:v>主动脉肠瘘疑似活动性出血</x:v>
      </x:c>
      <x:c r="D10" s="53" t="str">
        <x:v>移植物肠瘘|主动脉肠瘘|aortoenteric fistula|GEF</x:v>
      </x:c>
      <x:c r="E10" s="53" t="str">
        <x:v>有疑似瘘证据；尤其出血/休克/不稳定</x:v>
      </x:c>
      <x:c r="F10" s="53" t="str">
        <x:v>单纯消化道出血未有主动脉关联证据</x:v>
      </x:c>
      <x:c r="G10" s="53" t="str">
        <x:v>高危疾病需紧急人工复核</x:v>
      </x:c>
      <x:c r="H10" s="53" t="str">
        <x:v>ESVS §7.2.2（原发肠瘘为扩展）</x:v>
      </x:c>
      <x:c r="I10" s="53" t="n">
        <x:v>1</x:v>
      </x:c>
    </x:row>
    <x:row r="11" ht="51" customHeight="1">
      <x:c r="A11" s="53" t="str">
        <x:v>O07</x:v>
      </x:c>
      <x:c r="B11" s="53" t="str">
        <x:v>急诊模式</x:v>
      </x:c>
      <x:c r="C11" s="53" t="str">
        <x:v>动脉瘤相关急性肢体缺血</x:v>
      </x:c>
      <x:c r="D11" s="53" t="str">
        <x:v>急性下肢缺血|acute limb ischemia|肢体突然苍白无脉</x:v>
      </x:c>
      <x:c r="E11" s="53" t="str">
        <x:v>当前症状/检查支持急性缺血及AAA/髂动脉病相关</x:v>
      </x:c>
      <x:c r="F11" s="53" t="str">
        <x:v>仅慢性跛行、既往已解决</x:v>
      </x:c>
      <x:c r="G11" s="53" t="str">
        <x:v>紧急缺血路径</x:v>
      </x:c>
      <x:c r="H11" s="53" t="str">
        <x:v>ESVS §6.4.3</x:v>
      </x:c>
      <x:c r="I11" s="53" t="n">
        <x:v>1</x:v>
      </x:c>
    </x:row>
    <x:row r="12" ht="51" customHeight="1">
      <x:c r="A12" s="53" t="str">
        <x:v>O08</x:v>
      </x:c>
      <x:c r="B12" s="53" t="str">
        <x:v>急诊模式</x:v>
      </x:c>
      <x:c r="C12" s="53" t="str">
        <x:v>急性重要器官灌注障碍</x:v>
      </x:c>
      <x:c r="D12" s="53" t="str">
        <x:v>肠系膜缺血|肾动脉急性闭塞|visceral malperfusion|脊髓缺血</x:v>
      </x:c>
      <x:c r="E12" s="53" t="str">
        <x:v>主动脉病变/修复后 AND 新发器官缺血</x:v>
      </x:c>
      <x:c r="F12" s="53" t="str">
        <x:v>仅慢性无症状狭窄</x:v>
      </x:c>
      <x:c r="G12" s="53" t="str">
        <x:v>危及器官功能</x:v>
      </x:c>
      <x:c r="H12" s="53" t="str">
        <x:v>ESVS §6.4; §8.3–8.4</x:v>
      </x:c>
      <x:c r="I12" s="53" t="n">
        <x:v>1</x:v>
      </x:c>
    </x:row>
    <x:row r="13" ht="51" customHeight="1">
      <x:c r="A13" s="53" t="str">
        <x:v>O09</x:v>
      </x:c>
      <x:c r="B13" s="53" t="str">
        <x:v>急诊模式</x:v>
      </x:c>
      <x:c r="C13" s="53" t="str">
        <x:v>感染伴危急状态</x:v>
      </x:c>
      <x:c r="D13" s="53" t="str">
        <x:v>脓毒性休克|septic shock|感染性AAA破裂</x:v>
      </x:c>
      <x:c r="E13" s="53" t="str">
        <x:v>存在感染性主动脉病或移植物感染且急性失代偿</x:v>
      </x:c>
      <x:c r="F13" s="53" t="str">
        <x:v>单纯发热/CRP升高且稳定</x:v>
      </x:c>
      <x:c r="G13" s="53" t="str">
        <x:v>高危急性病情</x:v>
      </x:c>
      <x:c r="H13" s="53" t="str">
        <x:v>ESVS §7.2.2; §10.1</x:v>
      </x:c>
      <x:c r="I13" s="53" t="n">
        <x:v>1</x:v>
      </x:c>
    </x:row>
    <x:row r="14" ht="51" customHeight="1">
      <x:c r="A14" s="53" t="str">
        <x:v>O10</x:v>
      </x:c>
      <x:c r="B14" s="53" t="str">
        <x:v>急诊模式</x:v>
      </x:c>
      <x:c r="C14" s="53" t="str">
        <x:v>术后危急并发症</x:v>
      </x:c>
      <x:c r="D14" s="53" t="str">
        <x:v>post-EVAR rupture|腹腔间隔室综合征|术后急性出血</x:v>
      </x:c>
      <x:c r="E14" s="53" t="str">
        <x:v>当前术后出血/ACS/破裂/重要器官急性缺血</x:v>
      </x:c>
      <x:c r="F14" s="53" t="str">
        <x:v>既往已恢复的术后并发症</x:v>
      </x:c>
      <x:c r="G14" s="53" t="str">
        <x:v>急诊优于术后复杂</x:v>
      </x:c>
      <x:c r="H14" s="53" t="str">
        <x:v>ESVS §5.4; §6.4; §7</x:v>
      </x:c>
      <x:c r="I14" s="53" t="n">
        <x:v>1</x:v>
      </x:c>
    </x:row>
    <x:row r="15" ht="51" customHeight="1">
      <x:c r="A15" s="53" t="str">
        <x:v>O11</x:v>
      </x:c>
      <x:c r="B15" s="53" t="str">
        <x:v>复杂模式</x:v>
      </x:c>
      <x:c r="C15" s="53" t="str">
        <x:v>严重心衰</x:v>
      </x:c>
      <x:c r="D15" s="53" t="str">
        <x:v>心衰NYHA III|NYHA IV|严重心功能不全</x:v>
      </x:c>
      <x:c r="E15" s="53" t="str">
        <x:v>NYHA≥III 或临床显著重度心衰</x:v>
      </x:c>
      <x:c r="F15" s="53" t="str">
        <x:v>仅NYHA I–II，无其他复杂条件</x:v>
      </x:c>
      <x:c r="G15" s="53" t="str">
        <x:v>复杂风险评估</x:v>
      </x:c>
      <x:c r="H15" s="53" t="str">
        <x:v>原系统截图（阈值为工程规则）</x:v>
      </x:c>
      <x:c r="I15" s="53" t="n">
        <x:v>2</x:v>
      </x:c>
    </x:row>
    <x:row r="16" ht="51" customHeight="1">
      <x:c r="A16" s="53" t="str">
        <x:v>O12</x:v>
      </x:c>
      <x:c r="B16" s="53" t="str">
        <x:v>复杂模式</x:v>
      </x:c>
      <x:c r="C16" s="53" t="str">
        <x:v>COPD并存</x:v>
      </x:c>
      <x:c r="D16" s="53" t="str">
        <x:v>COPD|慢性阻塞性肺疾病</x:v>
      </x:c>
      <x:c r="E16" s="53" t="str">
        <x:v>明确合并COPD</x:v>
      </x:c>
      <x:c r="F16" s="53" t="str">
        <x:v>仅‘无COPD’‘排除COPD’</x:v>
      </x:c>
      <x:c r="G16" s="53" t="str">
        <x:v>严重合并症风险因素</x:v>
      </x:c>
      <x:c r="H16" s="53" t="str">
        <x:v>原系统截图（工程规则）</x:v>
      </x:c>
      <x:c r="I16" s="53" t="n">
        <x:v>2</x:v>
      </x:c>
    </x:row>
    <x:row r="17" ht="51" customHeight="1">
      <x:c r="A17" s="53" t="str">
        <x:v>O13</x:v>
      </x:c>
      <x:c r="B17" s="53" t="str">
        <x:v>复杂模式</x:v>
      </x:c>
      <x:c r="C17" s="53" t="str">
        <x:v>CKD≥3期</x:v>
      </x:c>
      <x:c r="D17" s="53" t="str">
        <x:v>CKD3|CKD 3期|CKD≥3|CKD stage 3|eGFR下降</x:v>
      </x:c>
      <x:c r="E17" s="53" t="str">
        <x:v>已确诊CKD≥3期；如只有eGFR应核实慢性性质</x:v>
      </x:c>
      <x:c r="F17" s="53" t="str">
        <x:v>孤立一次肌酐异常不能确诊CKD分期</x:v>
      </x:c>
      <x:c r="G17" s="53" t="str">
        <x:v>较高肾脏风险</x:v>
      </x:c>
      <x:c r="H17" s="53" t="str">
        <x:v>原系统截图（工程规则）</x:v>
      </x:c>
      <x:c r="I17" s="53" t="n">
        <x:v>2</x:v>
      </x:c>
    </x:row>
    <x:row r="18" ht="51" customHeight="1">
      <x:c r="A18" s="53" t="str">
        <x:v>O14</x:v>
      </x:c>
      <x:c r="B18" s="53" t="str">
        <x:v>复杂模式</x:v>
      </x:c>
      <x:c r="C18" s="53" t="str">
        <x:v>冠心病CAD</x:v>
      </x:c>
      <x:c r="D18" s="53" t="str">
        <x:v>CAD|冠心病|coronary artery disease</x:v>
      </x:c>
      <x:c r="E18" s="53" t="str">
        <x:v>已确诊并存冠心病</x:v>
      </x:c>
      <x:c r="F18" s="53" t="str">
        <x:v>‘无CAD’或陈旧排除诊断</x:v>
      </x:c>
      <x:c r="G18" s="53" t="str">
        <x:v>严重合并症分流</x:v>
      </x:c>
      <x:c r="H18" s="53" t="str">
        <x:v>原系统截图（工程规则）</x:v>
      </x:c>
      <x:c r="I18" s="53" t="n">
        <x:v>2</x:v>
      </x:c>
    </x:row>
    <x:row r="19" ht="51" customHeight="1">
      <x:c r="A19" s="53" t="str">
        <x:v>O15</x:v>
      </x:c>
      <x:c r="B19" s="53" t="str">
        <x:v>复杂模式</x:v>
      </x:c>
      <x:c r="C19" s="53" t="str">
        <x:v>不良瘤颈长度</x:v>
      </x:c>
      <x:c r="D19" s="53" t="str">
        <x:v>瘤颈&lt;15mm|short neck|短瘤颈</x:v>
      </x:c>
      <x:c r="E19" s="53" t="str">
        <x:v>拟常规EVAR场景且实际近端瘤颈长度&lt;15mm</x:v>
      </x:c>
      <x:c r="F19" s="53" t="str">
        <x:v>数据缺失不能默认为短；短瘤颈可由术者另有策略</x:v>
      </x:c>
      <x:c r="G19" s="53" t="str">
        <x:v>进入复杂评估而非直接判无法EVAR</x:v>
      </x:c>
      <x:c r="H19" s="53" t="str">
        <x:v>原图阈值工程条件；ESVS §8.1相关</x:v>
      </x:c>
      <x:c r="I19" s="53" t="n">
        <x:v>2</x:v>
      </x:c>
    </x:row>
    <x:row r="20" ht="51" customHeight="1">
      <x:c r="A20" s="53" t="str">
        <x:v>O16</x:v>
      </x:c>
      <x:c r="B20" s="53" t="str">
        <x:v>复杂模式</x:v>
      </x:c>
      <x:c r="C20" s="53" t="str">
        <x:v>瘤颈过度成角</x:v>
      </x:c>
      <x:c r="D20" s="53" t="str">
        <x:v>瘤颈成角&gt;45°|neck angulation &gt;45|严重成角</x:v>
      </x:c>
      <x:c r="E20" s="53" t="str">
        <x:v>拟常规EVAR场景，量化成角&gt;45°</x:v>
      </x:c>
      <x:c r="F20" s="53" t="str">
        <x:v>某器械允许角度并不等于图中45阈值被废除</x:v>
      </x:c>
      <x:c r="G20" s="53" t="str">
        <x:v>按原图归复杂；需IFU个体化</x:v>
      </x:c>
      <x:c r="H20" s="53" t="str">
        <x:v>原系统截图（工程规则）</x:v>
      </x:c>
      <x:c r="I20" s="53" t="n">
        <x:v>2</x:v>
      </x:c>
    </x:row>
    <x:row r="21" ht="51" customHeight="1">
      <x:c r="A21" s="53" t="str">
        <x:v>O17</x:v>
      </x:c>
      <x:c r="B21" s="53" t="str">
        <x:v>复杂模式</x:v>
      </x:c>
      <x:c r="C21" s="53" t="str">
        <x:v>入路直径不足</x:v>
      </x:c>
      <x:c r="D21" s="53" t="str">
        <x:v>入路&lt;7mm|access diameter &lt;7|细小髂动脉</x:v>
      </x:c>
      <x:c r="E21" s="53" t="str">
        <x:v>拟常规EVAR且相关入路实际最小直径&lt;7mm</x:v>
      </x:c>
      <x:c r="F21" s="53" t="str">
        <x:v>不同支架最小通路要求可能不同</x:v>
      </x:c>
      <x:c r="G21" s="53" t="str">
        <x:v>原图规则（需IFU核实）</x:v>
      </x:c>
      <x:c r="H21" s="53" t="str">
        <x:v>原系统截图（工程规则）</x:v>
      </x:c>
      <x:c r="I21" s="53" t="n">
        <x:v>2</x:v>
      </x:c>
    </x:row>
    <x:row r="22" ht="51" customHeight="1">
      <x:c r="A22" s="53" t="str">
        <x:v>O18</x:v>
      </x:c>
      <x:c r="B22" s="53" t="str">
        <x:v>复杂模式</x:v>
      </x:c>
      <x:c r="C22" s="53" t="str">
        <x:v>瘤颈血栓或钙化严重</x:v>
      </x:c>
      <x:c r="D22" s="53" t="str">
        <x:v>瘤颈血栓&gt;50%|瘤颈钙化&gt;50%|severe neck thrombus</x:v>
      </x:c>
      <x:c r="E22" s="53" t="str">
        <x:v>符合原图量化高危特征或临床认为封闭区不佳</x:v>
      </x:c>
      <x:c r="F22" s="53" t="str">
        <x:v>少量血栓/钙化不自动触发</x:v>
      </x:c>
      <x:c r="G22" s="53" t="str">
        <x:v>原影像模式触发要迁移至复杂模式</x:v>
      </x:c>
      <x:c r="H22" s="53" t="str">
        <x:v>原图‘影像模式’迁移（工程规则）</x:v>
      </x:c>
      <x:c r="I22" s="53" t="n">
        <x:v>2</x:v>
      </x:c>
    </x:row>
    <x:row r="23" ht="51" customHeight="1">
      <x:c r="A23" s="53" t="str">
        <x:v>O19</x:v>
      </x:c>
      <x:c r="B23" s="53" t="str">
        <x:v>复杂模式</x:v>
      </x:c>
      <x:c r="C23" s="53" t="str">
        <x:v>极度成角/迂曲</x:v>
      </x:c>
      <x:c r="D23" s="53" t="str">
        <x:v>成角&gt;90°|严重迂曲|extreme tortuosity</x:v>
      </x:c>
      <x:c r="E23" s="53" t="str">
        <x:v>CTA量化/临床解剖判断异常</x:v>
      </x:c>
      <x:c r="F23" s="53" t="str">
        <x:v>无证据的主观描述</x:v>
      </x:c>
      <x:c r="G23" s="53" t="str">
        <x:v>由原影像模式迁移</x:v>
      </x:c>
      <x:c r="H23" s="53" t="str">
        <x:v>原图‘影像模式’迁移（工程规则）</x:v>
      </x:c>
      <x:c r="I23" s="53" t="n">
        <x:v>2</x:v>
      </x:c>
    </x:row>
    <x:row r="24" ht="51" customHeight="1">
      <x:c r="A24" s="53" t="str">
        <x:v>O20</x:v>
      </x:c>
      <x:c r="B24" s="53" t="str">
        <x:v>复杂模式</x:v>
      </x:c>
      <x:c r="C24" s="53" t="str">
        <x:v>近肾/旁肾/近内脏AAA</x:v>
      </x:c>
      <x:c r="D24" s="53" t="str">
        <x:v>juxtarenal|pararenal|paravisceral|IV TAAA|近肾型AAA</x:v>
      </x:c>
      <x:c r="E24" s="53" t="str">
        <x:v>解剖学类型确证</x:v>
      </x:c>
      <x:c r="F24" s="53" t="str">
        <x:v>单纯‘肾下型AAA’不触发</x:v>
      </x:c>
      <x:c r="G24" s="53" t="str">
        <x:v>复杂解剖→A/B/C/D/E</x:v>
      </x:c>
      <x:c r="H24" s="53" t="str">
        <x:v>ESVS §8.1 Figure 8</x:v>
      </x:c>
      <x:c r="I24" s="53" t="n">
        <x:v>2</x:v>
      </x:c>
    </x:row>
    <x:row r="25" ht="51" customHeight="1">
      <x:c r="A25" s="53" t="str">
        <x:v>O21</x:v>
      </x:c>
      <x:c r="B25" s="53" t="str">
        <x:v>复杂模式</x:v>
      </x:c>
      <x:c r="C25" s="53" t="str">
        <x:v>特殊主动脉病变</x:v>
      </x:c>
      <x:c r="D25" s="53" t="str">
        <x:v>感染性动脉瘤|炎症性AAA|囊状AAA|PAU|IMH|IAAD|假性动脉瘤</x:v>
      </x:c>
      <x:c r="E25" s="53" t="str">
        <x:v>确有特殊病种且当前不存在更高急症</x:v>
      </x:c>
      <x:c r="F25" s="53" t="str">
        <x:v>否定词、历史病史不能算当前诊断</x:v>
      </x:c>
      <x:c r="G25" s="53" t="str">
        <x:v>不能套用标准肾下AAA常规路径</x:v>
      </x:c>
      <x:c r="H25" s="53" t="str">
        <x:v>ESVS §10</x:v>
      </x:c>
      <x:c r="I25" s="53" t="n">
        <x:v>2</x:v>
      </x:c>
    </x:row>
    <x:row r="26" ht="51" customHeight="1">
      <x:c r="A26" s="53" t="str">
        <x:v>O22</x:v>
      </x:c>
      <x:c r="B26" s="53" t="str">
        <x:v>复杂模式</x:v>
      </x:c>
      <x:c r="C26" s="53" t="str">
        <x:v>严重或不明类型术后异常</x:v>
      </x:c>
      <x:c r="D26" s="53" t="str">
        <x:v>I型内漏|III型内漏|瘤囊增大|支架移位|吻合口旁动脉瘤</x:v>
      </x:c>
      <x:c r="E26" s="53" t="str">
        <x:v>术后异常确诊/高度怀疑</x:v>
      </x:c>
      <x:c r="F26" s="53" t="str">
        <x:v>常规随访无异常或稳定简单II型内漏另判断</x:v>
      </x:c>
      <x:c r="G26" s="53" t="str">
        <x:v>术后个体化分析</x:v>
      </x:c>
      <x:c r="H26" s="53" t="str">
        <x:v>ESVS §7.2</x:v>
      </x:c>
      <x:c r="I26" s="53" t="n">
        <x:v>2</x:v>
      </x:c>
    </x:row>
    <x:row r="27" ht="51" customHeight="1">
      <x:c r="A27" s="53" t="str">
        <x:v>O23</x:v>
      </x:c>
      <x:c r="B27" s="53" t="str">
        <x:v>复杂模式</x:v>
      </x:c>
      <x:c r="C27" s="53" t="str">
        <x:v>复杂手术或多次再干预史</x:v>
      </x:c>
      <x:c r="D27" s="53" t="str">
        <x:v>FEVAR|BEVAR|复杂手术史|redo aortic repair|反复再干预</x:v>
      </x:c>
      <x:c r="E27" s="53" t="str">
        <x:v>当前修复规划受复杂操作/既往处理影响</x:v>
      </x:c>
      <x:c r="F27" s="53" t="str">
        <x:v>仅单纯EVAR无异常随访不是默认复杂</x:v>
      </x:c>
      <x:c r="G27" s="53" t="str">
        <x:v>全5工具</x:v>
      </x:c>
      <x:c r="H27" s="53" t="str">
        <x:v>原系统截图+ESVS §8</x:v>
      </x:c>
      <x:c r="I27" s="53" t="n">
        <x:v>2</x:v>
      </x:c>
    </x:row>
    <x:row r="28" ht="51" customHeight="1">
      <x:c r="A28" s="53" t="str">
        <x:v>O24</x:v>
      </x:c>
      <x:c r="B28" s="53" t="str">
        <x:v>复杂模式</x:v>
      </x:c>
      <x:c r="C28" s="53" t="str">
        <x:v>指南＋影像证据冲突</x:v>
      </x:c>
      <x:c r="D28" s="53" t="str">
        <x:v>指南与影像矛盾|imaging guideline conflict|证据冲突</x:v>
      </x:c>
      <x:c r="E28" s="53" t="str">
        <x:v>输入中不同关键证据不一致并影响治疗决策</x:v>
      </x:c>
      <x:c r="F28" s="53" t="str">
        <x:v>仅措辞不同不影响临床判断</x:v>
      </x:c>
      <x:c r="G28" s="53" t="str">
        <x:v>调用全5工具＋人工复核</x:v>
      </x:c>
      <x:c r="H28" s="53" t="str">
        <x:v>原系统截图（工程规则）</x:v>
      </x:c>
      <x:c r="I28" s="53" t="n">
        <x:v>2</x:v>
      </x:c>
    </x:row>
    <x:row r="29" ht="51" customHeight="1">
      <x:c r="A29" s="53" t="str">
        <x:v>O25</x:v>
      </x:c>
      <x:c r="B29" s="53" t="str">
        <x:v>复杂模式</x:v>
      </x:c>
      <x:c r="C29" s="53" t="str">
        <x:v>难以确定病种或关键字段缺失</x:v>
      </x:c>
      <x:c r="D29" s="53" t="str">
        <x:v>未分型|关键数据缺失|unclassified aortic lesion</x:v>
      </x:c>
      <x:c r="E29" s="53" t="str">
        <x:v>无法可靠判断病种/治疗史/破裂状态/主要直径/核心解剖</x:v>
      </x:c>
      <x:c r="F29" s="53" t="str">
        <x:v>如存在任何急症提示先进入急诊</x:v>
      </x:c>
      <x:c r="G29" s="53" t="str">
        <x:v>默认复杂＋置信度×0.5＋人工复核</x:v>
      </x:c>
      <x:c r="H29" s="53" t="str">
        <x:v>原系统截图（安全兜底）</x:v>
      </x:c>
      <x:c r="I29" s="53" t="n">
        <x:v>2</x:v>
      </x:c>
    </x:row>
    <x:row r="30" ht="51" customHeight="1">
      <x:c r="A30" s="53" t="str">
        <x:v>O26</x:v>
      </x:c>
      <x:c r="B30" s="53" t="str">
        <x:v>指南模式</x:v>
      </x:c>
      <x:c r="C30" s="53" t="str">
        <x:v>仅低复杂度病例可进入</x:v>
      </x:c>
      <x:c r="D30" s="53" t="str">
        <x:v>颈长≥15mm|颈角≤45°|入路≥7mm|无严重合并症</x:v>
      </x:c>
      <x:c r="E30" s="53" t="str">
        <x:v>先排除急诊/复杂覆盖；病种是常规路径；所需数据已齐全</x:v>
      </x:c>
      <x:c r="F30" s="53" t="str">
        <x:v>未知关键量化字段或尚未排除感染/破裂</x:v>
      </x:c>
      <x:c r="G30" s="53" t="str">
        <x:v>指南模式使用A+B，不是只凭直径阈值</x:v>
      </x:c>
      <x:c r="H30" s="53" t="str">
        <x:v>原系统截图（工程规则）</x:v>
      </x:c>
      <x:c r="I30" s="53" t="n">
        <x:v>3</x:v>
      </x:c>
    </x:row>
    <x:row r="31" ht="51" customHeight="1">
      <x:c r="A31" s="53" t="str">
        <x:v>O27</x:v>
      </x:c>
      <x:c r="B31" s="53" t="str">
        <x:v>指南模式</x:v>
      </x:c>
      <x:c r="C31" s="53" t="str">
        <x:v>简单稳定术后随访专用例外</x:v>
      </x:c>
      <x:c r="D31" s="53" t="str">
        <x:v>uncomplicated EVAR|stable Type II endoleak|OSR followup stable</x:v>
      </x:c>
      <x:c r="E31" s="53" t="str">
        <x:v>术后常规或稳定II型内漏＋无升级因素</x:v>
      </x:c>
      <x:c r="F31" s="53" t="str">
        <x:v>术前瘤颈数值不适用术后随访入门条件</x:v>
      </x:c>
      <x:c r="G31" s="53" t="str">
        <x:v>走术后专属指南，不套用术前解剖门槛</x:v>
      </x:c>
      <x:c r="H31" s="53" t="str">
        <x:v>ESVS §7.3–7.4（实现逻辑为工程规则）</x:v>
      </x:c>
      <x:c r="I31" s="53" t="n">
        <x:v>3</x:v>
      </x:c>
    </x:row>
    <x:row r="32" ht="51" customHeight="1">
      <x:c r="A32" s="53" t="str">
        <x:v>O28</x:v>
      </x:c>
      <x:c r="B32" s="53" t="str">
        <x:v>全部模式</x:v>
      </x:c>
      <x:c r="C32" s="53" t="str">
        <x:v>否定/历史/疑似语义处理</x:v>
      </x:c>
      <x:c r="D32" s="53" t="str">
        <x:v>无破裂|排除感染|既往内漏|未见内漏|疑似破裂</x:v>
      </x:c>
      <x:c r="E32" s="53" t="str">
        <x:v>先做事件时态、肯定/否定、疑似和疾病归因区分</x:v>
      </x:c>
      <x:c r="F32" s="53" t="str">
        <x:v>不能用纯substring字符串作为最终决策</x:v>
      </x:c>
      <x:c r="G32" s="53" t="str">
        <x:v>疑似高危急症不能因未确诊而延误；其余疑似保留审核</x:v>
      </x:c>
      <x:c r="H32" s="53" t="str">
        <x:v>工程NLP安全规则</x:v>
      </x:c>
      <x:c r="I32" s="53" t="n">
        <x:v>0</x:v>
      </x:c>
    </x:row>
    <x:row r="33" ht="51" customHeight="1">
      <x:c r="A33" s="53" t="str">
        <x:v>O29</x:v>
      </x:c>
      <x:c r="B33" s="53" t="str">
        <x:v>全部模式</x:v>
      </x:c>
      <x:c r="C33" s="53" t="str">
        <x:v>多标签单模式</x:v>
      </x:c>
      <x:c r="D33" s="53" t="str">
        <x:v>术后+破裂|感染+破裂|AAA+髂动脉瘤|复杂AAA+症状</x:v>
      </x:c>
      <x:c r="E33" s="53" t="str">
        <x:v>保留所有病种/病因/解剖/术后标签</x:v>
      </x:c>
      <x:c r="F33" s="53" t="str">
        <x:v>不能输出多个相互冲突的主模式</x:v>
      </x:c>
      <x:c r="G33" s="53" t="str">
        <x:v>模式优先级：急诊&gt;复杂&gt;指南</x:v>
      </x:c>
      <x:c r="H33" s="53" t="str">
        <x:v>原系统截图（工程规则）</x:v>
      </x:c>
      <x:c r="I33" s="53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1ae93857803474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7" hidden="0" customWidth="1"/>
    <x:col min="3" max="3" width="13" hidden="0" customWidth="1"/>
    <x:col min="4" max="4" width="7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6" customHeight="1">
      <x:c r="A1" s="4" t="str">
        <x:v>05｜手动选择临床条件的路由模拟器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演示的是结构化布尔门槛，不自动解析自然语言；真实部署应由NLP/图像模块填入这些字段</x:v>
      </x:c>
      <x:c r="B2" s="10"/>
      <x:c r="C2" s="10"/>
      <x:c r="D2" s="10"/>
      <x:c r="E2" s="10"/>
      <x:c r="F2" s="10"/>
      <x:c r="G2" s="10"/>
      <x:c r="H2" s="10"/>
    </x:row>
    <x:row r="5" ht="33" customHeight="1">
      <x:c r="A5" s="17" t="str">
        <x:v>判定顺序</x:v>
      </x:c>
      <x:c r="B5" s="17" t="str">
        <x:v>临床条件（填写是/否）</x:v>
      </x:c>
      <x:c r="C5" s="17" t="str">
        <x:v>当前值</x:v>
      </x:c>
      <x:c r="D5" s="17" t="str">
        <x:v>条件说明</x:v>
      </x:c>
    </x:row>
    <x:row r="7" ht="41" customHeight="1">
      <x:c r="A7" s="53" t="str">
        <x:v>P1</x:v>
      </x:c>
      <x:c r="B7" s="53" t="str">
        <x:v>存在急诊触发？</x:v>
      </x:c>
      <x:c r="C7" s="68" t="str">
        <x:v>否</x:v>
      </x:c>
      <x:c r="D7" s="53" t="str">
        <x:v>疑似破裂/症状性AAA/休克/急出血/急性缺血等；高优先级</x:v>
      </x:c>
    </x:row>
    <x:row r="8" ht="41" customHeight="1">
      <x:c r="A8" s="53" t="str">
        <x:v>P2</x:v>
      </x:c>
      <x:c r="B8" s="53" t="str">
        <x:v>特殊主动脉病种或复杂病变？</x:v>
      </x:c>
      <x:c r="C8" s="68" t="str">
        <x:v>否</x:v>
      </x:c>
      <x:c r="D8" s="53" t="str">
        <x:v>感染、炎症、PAU、IMH、IAAD、假性、囊状等</x:v>
      </x:c>
    </x:row>
    <x:row r="9" ht="41" customHeight="1">
      <x:c r="A9" s="53" t="str">
        <x:v>P3</x:v>
      </x:c>
      <x:c r="B9" s="53" t="str">
        <x:v>复杂解剖或复杂手术/异常术后？</x:v>
      </x:c>
      <x:c r="C9" s="68" t="str">
        <x:v>否</x:v>
      </x:c>
      <x:c r="D9" s="53" t="str">
        <x:v>近肾/旁肾、颈长&lt;15、成角&gt;45、入路&lt;7、FEVAR/术后高危并发</x:v>
      </x:c>
    </x:row>
    <x:row r="10" ht="41" customHeight="1">
      <x:c r="A10" s="53" t="str">
        <x:v>P4</x:v>
      </x:c>
      <x:c r="B10" s="53" t="str">
        <x:v>严重合并症存在？</x:v>
      </x:c>
      <x:c r="C10" s="68" t="str">
        <x:v>否</x:v>
      </x:c>
      <x:c r="D10" s="53" t="str">
        <x:v>心衰≥III/COPD/CKD≥3/CAD：沿用原截图工程门槛</x:v>
      </x:c>
    </x:row>
    <x:row r="11" ht="41" customHeight="1">
      <x:c r="A11" s="53" t="str">
        <x:v>P5</x:v>
      </x:c>
      <x:c r="B11" s="53" t="str">
        <x:v>指南与影像证据冲突？</x:v>
      </x:c>
      <x:c r="C11" s="68" t="str">
        <x:v>否</x:v>
      </x:c>
      <x:c r="D11" s="53" t="str">
        <x:v>关键诊断、解剖、手术风险或证据结论相互矛盾</x:v>
      </x:c>
    </x:row>
    <x:row r="12" ht="41" customHeight="1">
      <x:c r="A12" s="53" t="str">
        <x:v>P6</x:v>
      </x:c>
      <x:c r="B12" s="53" t="str">
        <x:v>决策关键字段缺失或病种无法识别？</x:v>
      </x:c>
      <x:c r="C12" s="68" t="str">
        <x:v>否</x:v>
      </x:c>
      <x:c r="D12" s="53" t="str">
        <x:v>无法明确现病史/治疗史、直径、主要解剖、紧急程度等</x:v>
      </x:c>
    </x:row>
    <x:row r="13" ht="41" customHeight="1">
      <x:c r="A13" s="53" t="str">
        <x:v>P7</x:v>
      </x:c>
      <x:c r="B13" s="53" t="str">
        <x:v>属于低复杂度常规指南适用场景？</x:v>
      </x:c>
      <x:c r="C13" s="68" t="str">
        <x:v>是</x:v>
      </x:c>
      <x:c r="D13" s="53" t="str">
        <x:v>例如无症状标准AAA，或术后稳定常规随访（走术后专门路径）</x:v>
      </x:c>
    </x:row>
    <x:row r="14" ht="41" customHeight="1">
      <x:c r="A14" s="53" t="str">
        <x:v>P8</x:v>
      </x:c>
      <x:c r="B14" s="53" t="str">
        <x:v>全部适用前置条件已核实？</x:v>
      </x:c>
      <x:c r="C14" s="68" t="str">
        <x:v>是</x:v>
      </x:c>
      <x:c r="D14" s="53" t="str">
        <x:v>急/复杂已排除，资料齐全，适用IFU或术后指南条件</x:v>
      </x:c>
    </x:row>
    <x:row r="17" ht="31" customHeight="1">
      <x:c r="A17" s="23" t="str">
        <x:v>计算结果（改动黄色单元格后自动更新）</x:v>
      </x:c>
      <x:c r="B17" s="23"/>
      <x:c r="C17" s="23"/>
      <x:c r="D17" s="23"/>
    </x:row>
    <x:row r="19" ht="36" customHeight="1">
      <x:c r="A19" s="73" t="str">
        <x:v>最终模式</x:v>
      </x:c>
      <x:c r="B19" s="76" t="str">
        <x:f>IF(C7="是","急诊模式",IF(OR(C8="是",C9="是",C10="是",C11="是"),"复杂模式",IF(C12="是","复杂模式（×0.5，人工复核）",IF(AND(C13="是",C14="是"),"指南模式","复杂模式（×0.5，人工复核）"))))</x:f>
        <x:v>指南模式</x:v>
      </x:c>
      <x:c r="C19" s="73"/>
      <x:c r="D19" s="73"/>
    </x:row>
    <x:row r="20" ht="36" customHeight="1">
      <x:c r="A20" s="73" t="str">
        <x:v>工具调用</x:v>
      </x:c>
      <x:c r="B20" s="73" t="str">
        <x:f>IF(B19="急诊模式","启动急诊应急预案；暂缓常规工具调度",IF(B19="指南模式","B影像量化器＋A指南引擎","A指南＋B影像＋C评分＋D记忆＋E风险；必要时人工复核"))</x:f>
        <x:v>B影像量化器＋A指南引擎</x:v>
      </x:c>
      <x:c r="C20" s="73"/>
      <x:c r="D20" s="73"/>
    </x:row>
    <x:row r="21" ht="36" customHeight="1">
      <x:c r="A21" s="73" t="str">
        <x:v>置信度处理</x:v>
      </x:c>
      <x:c r="B21" s="73" t="str">
        <x:f>IF(ISNUMBER(SEARCH("0.5",B19)),"原始置信度×0.5，并标记人工复核","保留正常置信度计算；医学判断仍需人工审核")</x:f>
        <x:v>保留正常置信度计算；医学判断仍需人工审核</x:v>
      </x:c>
      <x:c r="C21" s="73"/>
      <x:c r="D21" s="73"/>
    </x:row>
    <x:row r="24" ht="44" customHeight="1">
      <x:c r="A24" s="79" t="str">
        <x:v>* 特别说明：指南模式对应手术前标准场景的15mm/45°/7mm仅是原Router工程门槛，不是所有EVAR器械的统一指南适应证。</x:v>
      </x:c>
      <x:c r="B24" s="79"/>
      <x:c r="C24" s="79"/>
      <x:c r="D24" s="79"/>
    </x:row>
  </x:sheetData>
  <x:mergeCells>
    <x:mergeCell ref="A1:H1"/>
    <x:mergeCell ref="A2:H2"/>
    <x:mergeCell ref="A17:D17"/>
    <x:mergeCell ref="B20:D20"/>
    <x:mergeCell ref="B21:D21"/>
    <x:mergeCell ref="A24:D24"/>
  </x:mergeCells>
  <x:dataValidations count="1">
    <x:dataValidation type="list" sqref="C7:C14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63" hidden="0" customWidth="1"/>
    <x:col min="3" max="3" width="40" hidden="0" customWidth="1"/>
    <x:col min="4" max="4" width="25" hidden="0" customWidth="1"/>
    <x:col min="5" max="5" width="40" hidden="0" customWidth="1"/>
    <x:col min="6" max="6" width="46" hidden="0" customWidth="1"/>
    <x:col min="7" max="7" width="22" hidden="0" customWidth="1"/>
  </x:cols>
  <x:sheetData>
    <x:row r="1" ht="36" customHeight="1">
      <x:c r="A1" s="4" t="str">
        <x:v>06｜病例级Router验证用例（34例）</x:v>
      </x:c>
      <x:c r="B1" s="4"/>
      <x:c r="C1" s="4"/>
      <x:c r="D1" s="4"/>
      <x:c r="E1" s="4"/>
      <x:c r="F1" s="4"/>
      <x:c r="G1" s="4"/>
    </x:row>
    <x:row r="2" ht="30" customHeight="1">
      <x:c r="A2" s="10" t="str">
        <x:v>预期结果基于现有Router三模式设计及ESVS 2024；用作单元测试目标，不表示已经运行真实NLP系统</x:v>
      </x:c>
      <x:c r="B2" s="10"/>
      <x:c r="C2" s="10"/>
      <x:c r="D2" s="10"/>
      <x:c r="E2" s="10"/>
      <x:c r="F2" s="10"/>
      <x:c r="G2" s="10"/>
    </x:row>
    <x:row r="4" ht="33" customHeight="1">
      <x:c r="A4" s="17" t="str">
        <x:v>用例ID</x:v>
      </x:c>
      <x:c r="B4" s="17" t="str">
        <x:v>病例简述</x:v>
      </x:c>
      <x:c r="C4" s="17" t="str">
        <x:v>结构化触发/条件</x:v>
      </x:c>
      <x:c r="D4" s="17" t="str">
        <x:v>预期模式</x:v>
      </x:c>
      <x:c r="E4" s="17" t="str">
        <x:v>应调度工具/动作</x:v>
      </x:c>
      <x:c r="F4" s="17" t="str">
        <x:v>预期原因</x:v>
      </x:c>
      <x:c r="G4" s="17" t="str">
        <x:v>工程测试结果（待填写）</x:v>
      </x:c>
    </x:row>
    <x:row r="5" ht="52" customHeight="1">
      <x:c r="A5" s="53" t="str">
        <x:v>T01</x:v>
      </x:c>
      <x:c r="B5" s="53" t="str">
        <x:v>男性、肾下梭形AAA 42mm，无症状，低风险，数据齐全</x:v>
      </x:c>
      <x:c r="C5" s="53" t="str">
        <x:v>急诊=否；复杂=否；指南门槛=满足</x:v>
      </x:c>
      <x:c r="D5" s="53" t="str">
        <x:v>指南模式</x:v>
      </x:c>
      <x:c r="E5" s="53" t="str">
        <x:v>B影像量化器＋A指南引擎</x:v>
      </x:c>
      <x:c r="F5" s="53" t="str">
        <x:v>小型AAA且排除覆盖</x:v>
      </x:c>
      <x:c r="G5" s="53" t="str">
        <x:v>待测试</x:v>
      </x:c>
    </x:row>
    <x:row r="6" ht="52" customHeight="1">
      <x:c r="A6" s="53" t="str">
        <x:v>T02</x:v>
      </x:c>
      <x:c r="B6" s="53" t="str">
        <x:v>男性AAA 58mm无症状，颈长20mm，角30°，入路8mm，无严重合并症</x:v>
      </x:c>
      <x:c r="C6" s="53" t="str">
        <x:v>急诊=否；复杂=否；指南门槛=满足</x:v>
      </x:c>
      <x:c r="D6" s="53" t="str">
        <x:v>指南模式</x:v>
      </x:c>
      <x:c r="E6" s="53" t="str">
        <x:v>B＋A</x:v>
      </x:c>
      <x:c r="F6" s="53" t="str">
        <x:v>达到修复评估阈值≠强制手术</x:v>
      </x:c>
      <x:c r="G6" s="53" t="str">
        <x:v>待测试</x:v>
      </x:c>
    </x:row>
    <x:row r="7" ht="52" customHeight="1">
      <x:c r="A7" s="53" t="str">
        <x:v>T03</x:v>
      </x:c>
      <x:c r="B7" s="53" t="str">
        <x:v>女性AAA 51mm无症状，低复杂度</x:v>
      </x:c>
      <x:c r="C7" s="53" t="str">
        <x:v>急诊=否；复杂=否；指南门槛=满足</x:v>
      </x:c>
      <x:c r="D7" s="53" t="str">
        <x:v>指南模式</x:v>
      </x:c>
      <x:c r="E7" s="53" t="str">
        <x:v>B＋A</x:v>
      </x:c>
      <x:c r="F7" s="53" t="str">
        <x:v>女性≥50mm可考虑修复</x:v>
      </x:c>
      <x:c r="G7" s="53" t="str">
        <x:v>待测试</x:v>
      </x:c>
    </x:row>
    <x:row r="8" ht="52" customHeight="1">
      <x:c r="A8" s="53" t="str">
        <x:v>T04</x:v>
      </x:c>
      <x:c r="B8" s="53" t="str">
        <x:v>女性AAA 48mm无症状，资料齐全</x:v>
      </x:c>
      <x:c r="C8" s="53" t="str">
        <x:v>急诊=否；复杂=否；指南门槛=满足</x:v>
      </x:c>
      <x:c r="D8" s="53" t="str">
        <x:v>指南模式</x:v>
      </x:c>
      <x:c r="E8" s="53" t="str">
        <x:v>B＋A</x:v>
      </x:c>
      <x:c r="F8" s="53" t="str">
        <x:v>未达常规评估阈值；随访</x:v>
      </x:c>
      <x:c r="G8" s="53" t="str">
        <x:v>待测试</x:v>
      </x:c>
    </x:row>
    <x:row r="9" ht="52" customHeight="1">
      <x:c r="A9" s="53" t="str">
        <x:v>T05</x:v>
      </x:c>
      <x:c r="B9" s="53" t="str">
        <x:v>男性AAA 50mm一年增大12mm，复核后确认</x:v>
      </x:c>
      <x:c r="C9" s="53" t="str">
        <x:v>急诊=否；快速增长=是</x:v>
      </x:c>
      <x:c r="D9" s="53" t="str">
        <x:v>复杂模式</x:v>
      </x:c>
      <x:c r="E9" s="53" t="str">
        <x:v>A＋B＋C＋D＋E</x:v>
      </x:c>
      <x:c r="F9" s="53" t="str">
        <x:v>增长速度≥10mm/年需重新评估</x:v>
      </x:c>
      <x:c r="G9" s="53" t="str">
        <x:v>待测试</x:v>
      </x:c>
    </x:row>
    <x:row r="10" ht="52" customHeight="1">
      <x:c r="A10" s="53" t="str">
        <x:v>T06</x:v>
      </x:c>
      <x:c r="B10" s="53" t="str">
        <x:v>男性AAA伴当前新发腹痛，未证实破裂</x:v>
      </x:c>
      <x:c r="C10" s="53" t="str">
        <x:v>症状性疑似=是</x:v>
      </x:c>
      <x:c r="D10" s="53" t="str">
        <x:v>急诊模式</x:v>
      </x:c>
      <x:c r="E10" s="53" t="str">
        <x:v>急诊应急预案</x:v>
      </x:c>
      <x:c r="F10" s="53" t="str">
        <x:v>症状性触发</x:v>
      </x:c>
      <x:c r="G10" s="53" t="str">
        <x:v>待测试</x:v>
      </x:c>
    </x:row>
    <x:row r="11" ht="52" customHeight="1">
      <x:c r="A11" s="53" t="str">
        <x:v>T07</x:v>
      </x:c>
      <x:c r="B11" s="53" t="str">
        <x:v>稳定症状性未破裂AAA，拟在快速优化后修复</x:v>
      </x:c>
      <x:c r="C11" s="53" t="str">
        <x:v>症状性=是，稳定=是</x:v>
      </x:c>
      <x:c r="D11" s="53" t="str">
        <x:v>急诊模式</x:v>
      </x:c>
      <x:c r="E11" s="53" t="str">
        <x:v>急诊应急预案</x:v>
      </x:c>
      <x:c r="F11" s="53" t="str">
        <x:v>急诊路由≠立即手术</x:v>
      </x:c>
      <x:c r="G11" s="53" t="str">
        <x:v>待测试</x:v>
      </x:c>
    </x:row>
    <x:row r="12" ht="52" customHeight="1">
      <x:c r="A12" s="53" t="str">
        <x:v>T08</x:v>
      </x:c>
      <x:c r="B12" s="53" t="str">
        <x:v>CTA提示包裹性破裂，循环稳定</x:v>
      </x:c>
      <x:c r="C12" s="53" t="str">
        <x:v>破裂=是</x:v>
      </x:c>
      <x:c r="D12" s="53" t="str">
        <x:v>急诊模式</x:v>
      </x:c>
      <x:c r="E12" s="53" t="str">
        <x:v>急诊应急预案</x:v>
      </x:c>
      <x:c r="F12" s="53" t="str">
        <x:v>稳定仍属于破裂</x:v>
      </x:c>
      <x:c r="G12" s="53" t="str">
        <x:v>待测试</x:v>
      </x:c>
    </x:row>
    <x:row r="13" ht="52" customHeight="1">
      <x:c r="A13" s="53" t="str">
        <x:v>T09</x:v>
      </x:c>
      <x:c r="B13" s="53" t="str">
        <x:v>EVAR后Ia内漏，无明显症状且无破裂</x:v>
      </x:c>
      <x:c r="C13" s="53" t="str">
        <x:v>急诊=否；高危术后并发症=是</x:v>
      </x:c>
      <x:c r="D13" s="53" t="str">
        <x:v>复杂模式</x:v>
      </x:c>
      <x:c r="E13" s="53" t="str">
        <x:v>A＋B＋C＋D＋E</x:v>
      </x:c>
      <x:c r="F13" s="53" t="str">
        <x:v>I型高危</x:v>
      </x:c>
      <x:c r="G13" s="53" t="str">
        <x:v>待测试</x:v>
      </x:c>
    </x:row>
    <x:row r="14" ht="52" customHeight="1">
      <x:c r="A14" s="53" t="str">
        <x:v>T10</x:v>
      </x:c>
      <x:c r="B14" s="53" t="str">
        <x:v>EVAR后II型内漏，瘤囊2年稳定，无合并症</x:v>
      </x:c>
      <x:c r="C14" s="53" t="str">
        <x:v>急诊=否；术后低风险指南条件=满足</x:v>
      </x:c>
      <x:c r="D14" s="53" t="str">
        <x:v>指南模式</x:v>
      </x:c>
      <x:c r="E14" s="53" t="str">
        <x:v>B＋A</x:v>
      </x:c>
      <x:c r="F14" s="53" t="str">
        <x:v>只能经确认稳定才指南</x:v>
      </x:c>
      <x:c r="G14" s="53" t="str">
        <x:v>待测试</x:v>
      </x:c>
    </x:row>
    <x:row r="15" ht="52" customHeight="1">
      <x:c r="A15" s="53" t="str">
        <x:v>T11</x:v>
      </x:c>
      <x:c r="B15" s="53" t="str">
        <x:v>EVAR后II型内漏，瘤囊持续增大</x:v>
      </x:c>
      <x:c r="C15" s="53" t="str">
        <x:v>急诊=否；瘤囊增大=是</x:v>
      </x:c>
      <x:c r="D15" s="53" t="str">
        <x:v>复杂模式</x:v>
      </x:c>
      <x:c r="E15" s="53" t="str">
        <x:v>A＋B＋C＋D＋E</x:v>
      </x:c>
      <x:c r="F15" s="53" t="str">
        <x:v>需排除隐匿高危内漏</x:v>
      </x:c>
      <x:c r="G15" s="53" t="str">
        <x:v>待测试</x:v>
      </x:c>
    </x:row>
    <x:row r="16" ht="52" customHeight="1">
      <x:c r="A16" s="53" t="str">
        <x:v>T12</x:v>
      </x:c>
      <x:c r="B16" s="53" t="str">
        <x:v>EVAR术后IIIa内漏，支架连接分离</x:v>
      </x:c>
      <x:c r="C16" s="53" t="str">
        <x:v>复杂术后异常=是</x:v>
      </x:c>
      <x:c r="D16" s="53" t="str">
        <x:v>复杂模式</x:v>
      </x:c>
      <x:c r="E16" s="53" t="str">
        <x:v>A＋B＋C＋D＋E</x:v>
      </x:c>
      <x:c r="F16" s="53" t="str">
        <x:v>III型非普通随访</x:v>
      </x:c>
      <x:c r="G16" s="53" t="str">
        <x:v>待测试</x:v>
      </x:c>
    </x:row>
    <x:row r="17" ht="52" customHeight="1">
      <x:c r="A17" s="53" t="str">
        <x:v>T13</x:v>
      </x:c>
      <x:c r="B17" s="53" t="str">
        <x:v>EVAR术后III型内漏伴低血压、腹背痛</x:v>
      </x:c>
      <x:c r="C17" s="53" t="str">
        <x:v>疑似破裂/循环不稳=是</x:v>
      </x:c>
      <x:c r="D17" s="53" t="str">
        <x:v>急诊模式</x:v>
      </x:c>
      <x:c r="E17" s="53" t="str">
        <x:v>急诊应急预案</x:v>
      </x:c>
      <x:c r="F17" s="53" t="str">
        <x:v>急诊覆盖术后复杂</x:v>
      </x:c>
      <x:c r="G17" s="53" t="str">
        <x:v>待测试</x:v>
      </x:c>
    </x:row>
    <x:row r="18" ht="52" customHeight="1">
      <x:c r="A18" s="53" t="str">
        <x:v>T14</x:v>
      </x:c>
      <x:c r="B18" s="53" t="str">
        <x:v>既往OSR，现大出血且疑似移植物-肠瘘</x:v>
      </x:c>
      <x:c r="C18" s="53" t="str">
        <x:v>疑似高危急性瘘=是</x:v>
      </x:c>
      <x:c r="D18" s="53" t="str">
        <x:v>急诊模式</x:v>
      </x:c>
      <x:c r="E18" s="53" t="str">
        <x:v>急诊应急预案</x:v>
      </x:c>
      <x:c r="F18" s="53" t="str">
        <x:v>急诊优先</x:v>
      </x:c>
      <x:c r="G18" s="53" t="str">
        <x:v>待测试</x:v>
      </x:c>
    </x:row>
    <x:row r="19" ht="52" customHeight="1">
      <x:c r="A19" s="53" t="str">
        <x:v>T15</x:v>
      </x:c>
      <x:c r="B19" s="53" t="str">
        <x:v>EVAR后移植物感染，血流动力学稳定</x:v>
      </x:c>
      <x:c r="C19" s="53" t="str">
        <x:v>急诊=否；感染=是</x:v>
      </x:c>
      <x:c r="D19" s="53" t="str">
        <x:v>复杂模式</x:v>
      </x:c>
      <x:c r="E19" s="53" t="str">
        <x:v>A＋B＋C＋D＋E</x:v>
      </x:c>
      <x:c r="F19" s="53" t="str">
        <x:v>感染病因需MDT</x:v>
      </x:c>
      <x:c r="G19" s="53" t="str">
        <x:v>待测试</x:v>
      </x:c>
    </x:row>
    <x:row r="20" ht="52" customHeight="1">
      <x:c r="A20" s="53" t="str">
        <x:v>T16</x:v>
      </x:c>
      <x:c r="B20" s="53" t="str">
        <x:v>原生感染性AAA合并脓毒性休克</x:v>
      </x:c>
      <x:c r="C20" s="53" t="str">
        <x:v>脓毒性休克=是</x:v>
      </x:c>
      <x:c r="D20" s="53" t="str">
        <x:v>急诊模式</x:v>
      </x:c>
      <x:c r="E20" s="53" t="str">
        <x:v>急诊应急预案</x:v>
      </x:c>
      <x:c r="F20" s="53" t="str">
        <x:v>急诊覆盖感染</x:v>
      </x:c>
      <x:c r="G20" s="53" t="str">
        <x:v>待测试</x:v>
      </x:c>
    </x:row>
    <x:row r="21" ht="52" customHeight="1">
      <x:c r="A21" s="53" t="str">
        <x:v>T17</x:v>
      </x:c>
      <x:c r="B21" s="53" t="str">
        <x:v>肾旁AAA 49mm无症状，当前稳定</x:v>
      </x:c>
      <x:c r="C21" s="53" t="str">
        <x:v>复杂解剖=是</x:v>
      </x:c>
      <x:c r="D21" s="53" t="str">
        <x:v>复杂模式</x:v>
      </x:c>
      <x:c r="E21" s="53" t="str">
        <x:v>A＋B＋C＋D＋E</x:v>
      </x:c>
      <x:c r="F21" s="53" t="str">
        <x:v>按解剖复杂性分流，不代表立即修复</x:v>
      </x:c>
      <x:c r="G21" s="53" t="str">
        <x:v>待测试</x:v>
      </x:c>
    </x:row>
    <x:row r="22" ht="52" customHeight="1">
      <x:c r="A22" s="53" t="str">
        <x:v>T18</x:v>
      </x:c>
      <x:c r="B22" s="53" t="str">
        <x:v>标准肾下AAA 57mm无症状，颈长14mm</x:v>
      </x:c>
      <x:c r="C22" s="53" t="str">
        <x:v>短瘤颈=是</x:v>
      </x:c>
      <x:c r="D22" s="53" t="str">
        <x:v>复杂模式</x:v>
      </x:c>
      <x:c r="E22" s="53" t="str">
        <x:v>A＋B＋C＋D＋E</x:v>
      </x:c>
      <x:c r="F22" s="53" t="str">
        <x:v>15mm为原Router工程阈值</x:v>
      </x:c>
      <x:c r="G22" s="53" t="str">
        <x:v>待测试</x:v>
      </x:c>
    </x:row>
    <x:row r="23" ht="52" customHeight="1">
      <x:c r="A23" s="53" t="str">
        <x:v>T19</x:v>
      </x:c>
      <x:c r="B23" s="53" t="str">
        <x:v>标准肾下AAA 57mm无症状，瘤颈成角50°</x:v>
      </x:c>
      <x:c r="C23" s="53" t="str">
        <x:v>过度成角=是</x:v>
      </x:c>
      <x:c r="D23" s="53" t="str">
        <x:v>复杂模式</x:v>
      </x:c>
      <x:c r="E23" s="53" t="str">
        <x:v>A＋B＋C＋D＋E</x:v>
      </x:c>
      <x:c r="F23" s="53" t="str">
        <x:v>45°为工程阈值</x:v>
      </x:c>
      <x:c r="G23" s="53" t="str">
        <x:v>待测试</x:v>
      </x:c>
    </x:row>
    <x:row r="24" ht="52" customHeight="1">
      <x:c r="A24" s="53" t="str">
        <x:v>T20</x:v>
      </x:c>
      <x:c r="B24" s="53" t="str">
        <x:v>AAA 58mm无症状，CKD 3期</x:v>
      </x:c>
      <x:c r="C24" s="53" t="str">
        <x:v>严重合并症=是</x:v>
      </x:c>
      <x:c r="D24" s="53" t="str">
        <x:v>复杂模式</x:v>
      </x:c>
      <x:c r="E24" s="53" t="str">
        <x:v>A＋B＋C＋D＋E</x:v>
      </x:c>
      <x:c r="F24" s="53" t="str">
        <x:v>兼顾手术风险</x:v>
      </x:c>
      <x:c r="G24" s="53" t="str">
        <x:v>待测试</x:v>
      </x:c>
    </x:row>
    <x:row r="25" ht="52" customHeight="1">
      <x:c r="A25" s="53" t="str">
        <x:v>T21</x:v>
      </x:c>
      <x:c r="B25" s="53" t="str">
        <x:v>AAA 58mm无症状，明确冠心病</x:v>
      </x:c>
      <x:c r="C25" s="53" t="str">
        <x:v>严重合并症=是</x:v>
      </x:c>
      <x:c r="D25" s="53" t="str">
        <x:v>复杂模式</x:v>
      </x:c>
      <x:c r="E25" s="53" t="str">
        <x:v>A＋B＋C＋D＋E</x:v>
      </x:c>
      <x:c r="F25" s="53" t="str">
        <x:v>遵守原Router CAD规则</x:v>
      </x:c>
      <x:c r="G25" s="53" t="str">
        <x:v>待测试</x:v>
      </x:c>
    </x:row>
    <x:row r="26" ht="52" customHeight="1">
      <x:c r="A26" s="53" t="str">
        <x:v>T22</x:v>
      </x:c>
      <x:c r="B26" s="53" t="str">
        <x:v>腹主动脉PAU无疼痛/血肿/扩张/灌注障碍</x:v>
      </x:c>
      <x:c r="C26" s="53" t="str">
        <x:v>特殊病种=是</x:v>
      </x:c>
      <x:c r="D26" s="53" t="str">
        <x:v>复杂模式</x:v>
      </x:c>
      <x:c r="E26" s="53" t="str">
        <x:v>A＋B＋C＋D＋E</x:v>
      </x:c>
      <x:c r="F26" s="53" t="str">
        <x:v>可能保守管理，但路由复杂</x:v>
      </x:c>
      <x:c r="G26" s="53" t="str">
        <x:v>待测试</x:v>
      </x:c>
    </x:row>
    <x:row r="27" ht="52" customHeight="1">
      <x:c r="A27" s="53" t="str">
        <x:v>T23</x:v>
      </x:c>
      <x:c r="B27" s="53" t="str">
        <x:v>腹主动脉孤立夹层伴急性下肢缺血</x:v>
      </x:c>
      <x:c r="C27" s="53" t="str">
        <x:v>急性缺血=是</x:v>
      </x:c>
      <x:c r="D27" s="53" t="str">
        <x:v>急诊模式</x:v>
      </x:c>
      <x:c r="E27" s="53" t="str">
        <x:v>急诊应急预案</x:v>
      </x:c>
      <x:c r="F27" s="53" t="str">
        <x:v>临床急症优先</x:v>
      </x:c>
      <x:c r="G27" s="53" t="str">
        <x:v>待测试</x:v>
      </x:c>
    </x:row>
    <x:row r="28" ht="52" customHeight="1">
      <x:c r="A28" s="53" t="str">
        <x:v>T24</x:v>
      </x:c>
      <x:c r="B28" s="53" t="str">
        <x:v>孤立性髂总动脉瘤35mm，无症状，低复杂度</x:v>
      </x:c>
      <x:c r="C28" s="53" t="str">
        <x:v>急诊=否；复杂=否；指南门槛=满足</x:v>
      </x:c>
      <x:c r="D28" s="53" t="str">
        <x:v>指南模式</x:v>
      </x:c>
      <x:c r="E28" s="53" t="str">
        <x:v>B＋A</x:v>
      </x:c>
      <x:c r="F28" s="53" t="str">
        <x:v>与AAA直径阈值不同</x:v>
      </x:c>
      <x:c r="G28" s="53" t="str">
        <x:v>待测试</x:v>
      </x:c>
    </x:row>
    <x:row r="29" ht="52" customHeight="1">
      <x:c r="A29" s="53" t="str">
        <x:v>T25</x:v>
      </x:c>
      <x:c r="B29" s="53" t="str">
        <x:v>髂总动脉瘤45mm无症状、盆腔血供保留复杂</x:v>
      </x:c>
      <x:c r="C29" s="53" t="str">
        <x:v>复杂解剖=是</x:v>
      </x:c>
      <x:c r="D29" s="53" t="str">
        <x:v>复杂模式</x:v>
      </x:c>
      <x:c r="E29" s="53" t="str">
        <x:v>A＋B＋C＋D＋E</x:v>
      </x:c>
      <x:c r="F29" s="53" t="str">
        <x:v>≥40mm考虑修复评估</x:v>
      </x:c>
      <x:c r="G29" s="53" t="str">
        <x:v>待测试</x:v>
      </x:c>
    </x:row>
    <x:row r="30" ht="52" customHeight="1">
      <x:c r="A30" s="53" t="str">
        <x:v>T26</x:v>
      </x:c>
      <x:c r="B30" s="53" t="str">
        <x:v>病历写‘排除破裂’，当前无急症，但关键直径未提供</x:v>
      </x:c>
      <x:c r="C30" s="53" t="str">
        <x:v>急诊明确否；关键信息缺失=是</x:v>
      </x:c>
      <x:c r="D30" s="53" t="str">
        <x:v>复杂模式（×0.5，人工复核）</x:v>
      </x:c>
      <x:c r="E30" s="53" t="str">
        <x:v>A＋B＋C＋D＋E＋人工复核</x:v>
      </x:c>
      <x:c r="F30" s="53" t="str">
        <x:v>否定词不能触发破裂</x:v>
      </x:c>
      <x:c r="G30" s="53" t="str">
        <x:v>待测试</x:v>
      </x:c>
    </x:row>
    <x:row r="31" ht="52" customHeight="1">
      <x:c r="A31" s="53" t="str">
        <x:v>T27</x:v>
      </x:c>
      <x:c r="B31" s="53" t="str">
        <x:v>病历：‘既往因破裂性AAA接受EVAR’，此次常规复查无异常</x:v>
      </x:c>
      <x:c r="C31" s="53" t="str">
        <x:v>当前急诊=否；术后平稳=是</x:v>
      </x:c>
      <x:c r="D31" s="53" t="str">
        <x:v>指南模式</x:v>
      </x:c>
      <x:c r="E31" s="53" t="str">
        <x:v>B＋A</x:v>
      </x:c>
      <x:c r="F31" s="53" t="str">
        <x:v>历史破裂不可当成当前破裂</x:v>
      </x:c>
      <x:c r="G31" s="53" t="str">
        <x:v>待测试</x:v>
      </x:c>
    </x:row>
    <x:row r="32" ht="52" customHeight="1">
      <x:c r="A32" s="53" t="str">
        <x:v>T28</x:v>
      </x:c>
      <x:c r="B32" s="53" t="str">
        <x:v>‘未见内漏’，CTA示瘤囊稳定，EVAR术后2年</x:v>
      </x:c>
      <x:c r="C32" s="53" t="str">
        <x:v>术后稳定=是，内漏否定</x:v>
      </x:c>
      <x:c r="D32" s="53" t="str">
        <x:v>指南模式</x:v>
      </x:c>
      <x:c r="E32" s="53" t="str">
        <x:v>B＋A</x:v>
      </x:c>
      <x:c r="F32" s="53" t="str">
        <x:v>不要把‘内漏’字串当阳性</x:v>
      </x:c>
      <x:c r="G32" s="53" t="str">
        <x:v>待测试</x:v>
      </x:c>
    </x:row>
    <x:row r="33" ht="52" customHeight="1">
      <x:c r="A33" s="53" t="str">
        <x:v>T29</x:v>
      </x:c>
      <x:c r="B33" s="53" t="str">
        <x:v>AAA无症状但CT与指南评分输出相互冲突</x:v>
      </x:c>
      <x:c r="C33" s="53" t="str">
        <x:v>证据冲突=是</x:v>
      </x:c>
      <x:c r="D33" s="53" t="str">
        <x:v>复杂模式</x:v>
      </x:c>
      <x:c r="E33" s="53" t="str">
        <x:v>A＋B＋C＋D＋E＋人工复核</x:v>
      </x:c>
      <x:c r="F33" s="53" t="str">
        <x:v>原图条件</x:v>
      </x:c>
      <x:c r="G33" s="53" t="str">
        <x:v>待测试</x:v>
      </x:c>
    </x:row>
    <x:row r="34" ht="52" customHeight="1">
      <x:c r="A34" s="53" t="str">
        <x:v>T30</x:v>
      </x:c>
      <x:c r="B34" s="53" t="str">
        <x:v>仅录入‘腹主动脉扩张’，无直径/诊断结论/治疗史</x:v>
      </x:c>
      <x:c r="C34" s="53" t="str">
        <x:v>关键资料不足=是</x:v>
      </x:c>
      <x:c r="D34" s="53" t="str">
        <x:v>复杂模式（×0.5，人工复核）</x:v>
      </x:c>
      <x:c r="E34" s="53" t="str">
        <x:v>A＋B＋C＋D＋E＋人工复核</x:v>
      </x:c>
      <x:c r="F34" s="53" t="str">
        <x:v>不能自动确诊AAA</x:v>
      </x:c>
      <x:c r="G34" s="53" t="str">
        <x:v>待测试</x:v>
      </x:c>
    </x:row>
    <x:row r="35" ht="52" customHeight="1">
      <x:c r="A35" s="53" t="str">
        <x:v>T31</x:v>
      </x:c>
      <x:c r="B35" s="53" t="str">
        <x:v>开窗EVAR术后，暂无并发症</x:v>
      </x:c>
      <x:c r="C35" s="53" t="str">
        <x:v>复杂手术史=是</x:v>
      </x:c>
      <x:c r="D35" s="53" t="str">
        <x:v>复杂模式</x:v>
      </x:c>
      <x:c r="E35" s="53" t="str">
        <x:v>A＋B＋C＋D＋E</x:v>
      </x:c>
      <x:c r="F35" s="53" t="str">
        <x:v>复杂重建术后</x:v>
      </x:c>
      <x:c r="G35" s="53" t="str">
        <x:v>待测试</x:v>
      </x:c>
    </x:row>
    <x:row r="36" ht="52" customHeight="1">
      <x:c r="A36" s="53" t="str">
        <x:v>T32</x:v>
      </x:c>
      <x:c r="B36" s="53" t="str">
        <x:v>腹主动脉瘤合并蓝趾，证实为主动脉来源远端栓塞</x:v>
      </x:c>
      <x:c r="C36" s="53" t="str">
        <x:v>症状性=是</x:v>
      </x:c>
      <x:c r="D36" s="53" t="str">
        <x:v>急诊模式</x:v>
      </x:c>
      <x:c r="E36" s="53" t="str">
        <x:v>急诊应急预案</x:v>
      </x:c>
      <x:c r="F36" s="53" t="str">
        <x:v>当前症状性病变</x:v>
      </x:c>
      <x:c r="G36" s="53" t="str">
        <x:v>待测试</x:v>
      </x:c>
    </x:row>
    <x:row r="37" ht="52" customHeight="1">
      <x:c r="A37" s="53" t="str">
        <x:v>T33</x:v>
      </x:c>
      <x:c r="B37" s="53" t="str">
        <x:v>男性AAA 56mm无症状，影像报告‘未见破裂’，颈长20角30、无复杂因素</x:v>
      </x:c>
      <x:c r="C37" s="53" t="str">
        <x:v>急诊=否；复杂=否；低风险=是</x:v>
      </x:c>
      <x:c r="D37" s="53" t="str">
        <x:v>指南模式</x:v>
      </x:c>
      <x:c r="E37" s="53" t="str">
        <x:v>B＋A</x:v>
      </x:c>
      <x:c r="F37" s="53" t="str">
        <x:v>否认破裂 ≠ 急诊</x:v>
      </x:c>
      <x:c r="G37" s="53" t="str">
        <x:v>待测试</x:v>
      </x:c>
    </x:row>
    <x:row r="38" ht="52" customHeight="1">
      <x:c r="A38" s="53" t="str">
        <x:v>T34</x:v>
      </x:c>
      <x:c r="B38" s="53" t="str">
        <x:v>疑似原发性主动脉肠瘘，反复黑便，曾无主动脉手术</x:v>
      </x:c>
      <x:c r="C38" s="53" t="str">
        <x:v>高危疑似瘘=是</x:v>
      </x:c>
      <x:c r="D38" s="53" t="str">
        <x:v>急诊模式</x:v>
      </x:c>
      <x:c r="E38" s="53" t="str">
        <x:v>急诊应急预案</x:v>
      </x:c>
      <x:c r="F38" s="53" t="str">
        <x:v>高危疾病安全优先</x:v>
      </x:c>
      <x:c r="G38" s="53" t="str">
        <x:v>待测试</x:v>
      </x:c>
    </x:row>
  </x:sheetData>
  <x:mergeCells>
    <x:mergeCell ref="A1:G1"/>
    <x:mergeCell ref="A2:G2"/>
  </x:mergeCells>
  <x:dataValidations count="1">
    <x:dataValidation type="list" sqref="G5:G38">
      <x:formula1>"待测试,通过,未通过,需人工复核"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15367e18349c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31" hidden="0" customWidth="1"/>
    <x:col min="4" max="4" width="77" hidden="0" customWidth="1"/>
    <x:col min="5" max="5" width="60" hidden="0" customWidth="1"/>
    <x:col min="6" max="6" width="26" hidden="0" customWidth="1"/>
  </x:cols>
  <x:sheetData>
    <x:row r="1" ht="36" customHeight="1">
      <x:c r="A1" s="4" t="str">
        <x:v>07｜指南条款与工程规则来源交叉索引</x:v>
      </x:c>
      <x:c r="B1" s="4"/>
      <x:c r="C1" s="4"/>
      <x:c r="D1" s="4"/>
      <x:c r="E1" s="4"/>
      <x:c r="F1" s="4"/>
    </x:row>
    <x:row r="2" ht="30" customHeight="1">
      <x:c r="A2" s="10" t="str">
        <x:v>来源：用户提供的 Wanhainen et al., ESVS 2024 腹主动脉-髂动脉瘤指南（140页）；临床扩展和原截图工程规则单独标注</x:v>
      </x:c>
      <x:c r="B2" s="10"/>
      <x:c r="C2" s="10"/>
      <x:c r="D2" s="10"/>
      <x:c r="E2" s="10"/>
      <x:c r="F2" s="10"/>
    </x:row>
    <x:row r="4" ht="33" customHeight="1">
      <x:c r="A4" s="17" t="str">
        <x:v>来源编号</x:v>
      </x:c>
      <x:c r="B4" s="17" t="str">
        <x:v>章节/推荐</x:v>
      </x:c>
      <x:c r="C4" s="17" t="str">
        <x:v>涵盖类别</x:v>
      </x:c>
      <x:c r="D4" s="17" t="str">
        <x:v>关键内容／审核要点</x:v>
      </x:c>
      <x:c r="E4" s="17" t="str">
        <x:v>文献URL/来源描述</x:v>
      </x:c>
      <x:c r="F4" s="17" t="str">
        <x:v>证据属性</x:v>
      </x:c>
    </x:row>
    <x:row r="5" ht="48" customHeight="1">
      <x:c r="A5" s="53" t="str">
        <x:v>S01</x:v>
      </x:c>
      <x:c r="B5" s="53" t="str">
        <x:v>§3.2–3.4 pp208–212</x:v>
      </x:c>
      <x:c r="C5" s="53" t="str">
        <x:v>筛查/诊断入口</x:v>
      </x:c>
      <x:c r="D5" s="53" t="str">
        <x:v>偶然发现、超声、CTA；筛查不能当作已确诊病种</x:v>
      </x:c>
      <x:c r="E5" s="53" t="str">
        <x:v>https://doi.org/10.1016/j.ejvs.2023.11.002</x:v>
      </x:c>
      <x:c r="F5" s="53" t="str">
        <x:v>指南直接来源</x:v>
      </x:c>
    </x:row>
    <x:row r="6" ht="48" customHeight="1">
      <x:c r="A6" s="53" t="str">
        <x:v>S02</x:v>
      </x:c>
      <x:c r="B6" s="53" t="str">
        <x:v>§4.1–4.4; Rec 20–24</x:v>
      </x:c>
      <x:c r="C6" s="53" t="str">
        <x:v>无症状AAA</x:v>
      </x:c>
      <x:c r="D6" s="53" t="str">
        <x:v>随访、男性≥55mm/女性≥50mm考虑修复、≥10mm/年增长需重新评估</x:v>
      </x:c>
      <x:c r="E6" s="53" t="str">
        <x:v>https://doi.org/10.1016/j.ejvs.2023.11.002</x:v>
      </x:c>
      <x:c r="F6" s="53" t="str">
        <x:v>指南直接来源</x:v>
      </x:c>
    </x:row>
    <x:row r="7" ht="48" customHeight="1">
      <x:c r="A7" s="53" t="str">
        <x:v>S03</x:v>
      </x:c>
      <x:c r="B7" s="53" t="str">
        <x:v>§5 pp219–238</x:v>
      </x:c>
      <x:c r="C7" s="53" t="str">
        <x:v>择期AAA修复</x:v>
      </x:c>
      <x:c r="D7" s="53" t="str">
        <x:v>风险评估、解剖判断、术式；支架需考虑具体IFU</x:v>
      </x:c>
      <x:c r="E7" s="53" t="str">
        <x:v>https://doi.org/10.1016/j.ejvs.2023.11.002</x:v>
      </x:c>
      <x:c r="F7" s="53" t="str">
        <x:v>指南直接来源</x:v>
      </x:c>
    </x:row>
    <x:row r="8" ht="48" customHeight="1">
      <x:c r="A8" s="53" t="str">
        <x:v>S04</x:v>
      </x:c>
      <x:c r="B8" s="53" t="str">
        <x:v>§6 pp238–248; Rec 85</x:v>
      </x:c>
      <x:c r="C8" s="53" t="str">
        <x:v>破裂/症状性</x:v>
      </x:c>
      <x:c r="D8" s="53" t="str">
        <x:v>破裂急诊；稳定症状性AAA可短期快速优化后紧急修复</x:v>
      </x:c>
      <x:c r="E8" s="53" t="str">
        <x:v>https://doi.org/10.1016/j.ejvs.2023.11.002</x:v>
      </x:c>
      <x:c r="F8" s="53" t="str">
        <x:v>指南直接来源</x:v>
      </x:c>
    </x:row>
    <x:row r="9" ht="48" customHeight="1">
      <x:c r="A9" s="53" t="str">
        <x:v>S05</x:v>
      </x:c>
      <x:c r="B9" s="53" t="str">
        <x:v>§7.2.1–7.2.7; Table 19/20</x:v>
      </x:c>
      <x:c r="C9" s="53" t="str">
        <x:v>EVAR/OSR术后</x:v>
      </x:c>
      <x:c r="D9" s="53" t="str">
        <x:v>内漏类型、瘤囊增大、移位、闭塞、吻合口病变、感染、瘘</x:v>
      </x:c>
      <x:c r="E9" s="53" t="str">
        <x:v>https://doi.org/10.1016/j.ejvs.2023.11.002</x:v>
      </x:c>
      <x:c r="F9" s="53" t="str">
        <x:v>指南直接来源</x:v>
      </x:c>
    </x:row>
    <x:row r="10" ht="48" customHeight="1">
      <x:c r="A10" s="53" t="str">
        <x:v>S06</x:v>
      </x:c>
      <x:c r="B10" s="53" t="str">
        <x:v>§7.3–7.4</x:v>
      </x:c>
      <x:c r="C10" s="53" t="str">
        <x:v>术后稳定随访</x:v>
      </x:c>
      <x:c r="D10" s="53" t="str">
        <x:v>EVAR和OSR术后影像随访要求不同，不能套术前颈长门槛</x:v>
      </x:c>
      <x:c r="E10" s="53" t="str">
        <x:v>https://doi.org/10.1016/j.ejvs.2023.11.002</x:v>
      </x:c>
      <x:c r="F10" s="53" t="str">
        <x:v>指南直接来源</x:v>
      </x:c>
    </x:row>
    <x:row r="11" ht="48" customHeight="1">
      <x:c r="A11" s="53" t="str">
        <x:v>S07</x:v>
      </x:c>
      <x:c r="B11" s="53" t="str">
        <x:v>§8.1 Fig 8; §8.5/8.6</x:v>
      </x:c>
      <x:c r="C11" s="53" t="str">
        <x:v>复杂AAA</x:v>
      </x:c>
      <x:c r="D11" s="53" t="str">
        <x:v>短颈肾下、近肾、旁肾、近内脏、Type IV TAAA及复杂术后</x:v>
      </x:c>
      <x:c r="E11" s="53" t="str">
        <x:v>https://doi.org/10.1016/j.ejvs.2023.11.002</x:v>
      </x:c>
      <x:c r="F11" s="53" t="str">
        <x:v>指南直接来源</x:v>
      </x:c>
    </x:row>
    <x:row r="12" ht="48" customHeight="1">
      <x:c r="A12" s="53" t="str">
        <x:v>S08</x:v>
      </x:c>
      <x:c r="B12" s="53" t="str">
        <x:v>§9; Rec 135</x:v>
      </x:c>
      <x:c r="C12" s="53" t="str">
        <x:v>髂动脉瘤</x:v>
      </x:c>
      <x:c r="D12" s="53" t="str">
        <x:v>髂总/内/外及联合病变；≥40mm考虑修复评估</x:v>
      </x:c>
      <x:c r="E12" s="53" t="str">
        <x:v>https://doi.org/10.1016/j.ejvs.2023.11.002</x:v>
      </x:c>
      <x:c r="F12" s="53" t="str">
        <x:v>指南直接来源</x:v>
      </x:c>
    </x:row>
    <x:row r="13" ht="48" customHeight="1">
      <x:c r="A13" s="53" t="str">
        <x:v>S09</x:v>
      </x:c>
      <x:c r="B13" s="53" t="str">
        <x:v>§10.1–10.2</x:v>
      </x:c>
      <x:c r="C13" s="53" t="str">
        <x:v>感染性/炎症性AAA</x:v>
      </x:c>
      <x:c r="D13" s="53" t="str">
        <x:v>原生感染性AAA、炎症性AAA</x:v>
      </x:c>
      <x:c r="E13" s="53" t="str">
        <x:v>https://doi.org/10.1016/j.ejvs.2023.11.002</x:v>
      </x:c>
      <x:c r="F13" s="53" t="str">
        <x:v>指南直接来源</x:v>
      </x:c>
    </x:row>
    <x:row r="14" ht="48" customHeight="1">
      <x:c r="A14" s="53" t="str">
        <x:v>S10</x:v>
      </x:c>
      <x:c r="B14" s="53" t="str">
        <x:v>§10.3; Rec 148–150</x:v>
      </x:c>
      <x:c r="C14" s="53" t="str">
        <x:v>PAU/IMH/IAAD/囊状/假性</x:v>
      </x:c>
      <x:c r="D14" s="53" t="str">
        <x:v>有无扩张/血肿/疼痛/栓塞/灌注障碍影响管理</x:v>
      </x:c>
      <x:c r="E14" s="53" t="str">
        <x:v>https://doi.org/10.1016/j.ejvs.2023.11.002</x:v>
      </x:c>
      <x:c r="F14" s="53" t="str">
        <x:v>指南直接来源</x:v>
      </x:c>
    </x:row>
    <x:row r="15" ht="48" customHeight="1">
      <x:c r="A15" s="53" t="str">
        <x:v>S11</x:v>
      </x:c>
      <x:c r="B15" s="53" t="str">
        <x:v>§10.4–10.5</x:v>
      </x:c>
      <x:c r="C15" s="53" t="str">
        <x:v>合并癌症/遗传疾病</x:v>
      </x:c>
      <x:c r="D15" s="53" t="str">
        <x:v>更适合并存病因、风险标签，而非独立主路由</x:v>
      </x:c>
      <x:c r="E15" s="53" t="str">
        <x:v>https://doi.org/10.1016/j.ejvs.2023.11.002</x:v>
      </x:c>
      <x:c r="F15" s="53" t="str">
        <x:v>指南直接来源</x:v>
      </x:c>
    </x:row>
    <x:row r="16" ht="48" customHeight="1">
      <x:c r="A16" s="53" t="str">
        <x:v>S12</x:v>
      </x:c>
      <x:c r="B16" s="53" t="str">
        <x:v>VascGuide系统架构流程图 p4</x:v>
      </x:c>
      <x:c r="C16" s="53" t="str">
        <x:v>模式与工具</x:v>
      </x:c>
      <x:c r="D16" s="53" t="str">
        <x:v>急诊、指南、复杂；原影像模式已取消；复杂A/B/C/D/E全部5工具</x:v>
      </x:c>
      <x:c r="E16" s="53" t="str">
        <x:v>用户提供的Router架构截图</x:v>
      </x:c>
      <x:c r="F16" s="53" t="str">
        <x:v>工程设计来源</x:v>
      </x:c>
    </x:row>
    <x:row r="17" ht="48" customHeight="1">
      <x:c r="A17" s="53" t="str">
        <x:v>S13</x:v>
      </x:c>
      <x:c r="B17" s="53" t="str">
        <x:v>原Router截图p4及本版实现</x:v>
      </x:c>
      <x:c r="C17" s="53" t="str">
        <x:v>工程门槛</x:v>
      </x:c>
      <x:c r="D17" s="53" t="str">
        <x:v>15mm、45°、7mm、NYHA、COPD/CKD/CAD；需具体器械和临床核实</x:v>
      </x:c>
      <x:c r="E17" s="53" t="str">
        <x:v>用户提供的Router架构截图</x:v>
      </x:c>
      <x:c r="F17" s="53" t="str">
        <x:v>工程条件，非ESVS统一阈值</x:v>
      </x:c>
    </x:row>
    <x:row r="18" ht="48" customHeight="1">
      <x:c r="A18" s="53" t="str">
        <x:v>S14</x:v>
      </x:c>
      <x:c r="B18" s="53" t="str">
        <x:v>ESVS相关条款 + 临床扩展</x:v>
      </x:c>
      <x:c r="C18" s="53" t="str">
        <x:v>原发性主动脉肠瘘/感染性主动脉炎/入路并发症</x:v>
      </x:c>
      <x:c r="D18" s="53" t="str">
        <x:v>为覆盖临床病例增加，不代表指南目录逐条单列</x:v>
      </x:c>
      <x:c r="E18" s="53" t="str">
        <x:v>https://doi.org/10.1016/j.ejvs.2023.11.002</x:v>
      </x:c>
      <x:c r="F18" s="53" t="str">
        <x:v>临床扩展；待审核</x:v>
      </x:c>
    </x:row>
    <x:row r="19" ht="48" customHeight="1">
      <x:c r="A19" s="53" t="str">
        <x:v>S15</x:v>
      </x:c>
      <x:c r="B19" s="53" t="str">
        <x:v>本版工程实现</x:v>
      </x:c>
      <x:c r="C19" s="53" t="str">
        <x:v>NLP/路由兜底</x:v>
      </x:c>
      <x:c r="D19" s="53" t="str">
        <x:v>OR候选＋AND语境＋NOT否定＋优先级；信息缺失复杂×0.5</x:v>
      </x:c>
      <x:c r="E19" s="53" t="str">
        <x:v>本版编制规则</x:v>
      </x:c>
      <x:c r="F19" s="53" t="str">
        <x:v>工程推导，非临床指南</x:v>
      </x:c>
    </x:row>
  </x:sheetData>
  <x:mergeCells>
    <x:mergeCell ref="A1:F1"/>
    <x:mergeCell ref="A2:F2"/>
  </x:mergeCells>
  <x:pageMargins left="0.7" right="0.7" top="0.75" bottom="0.75" header="0.3" footer="0.3"/>
</x:worksheet>
</file>